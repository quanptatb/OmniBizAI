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N\OmniBizAI\test_outputs\"/>
    </mc:Choice>
  </mc:AlternateContent>
  <xr:revisionPtr revIDLastSave="0" documentId="13_ncr:1_{54FEC619-41FA-4CC7-B9F5-8E928568EB8F}" xr6:coauthVersionLast="47" xr6:coauthVersionMax="47" xr10:uidLastSave="{00000000-0000-0000-0000-000000000000}"/>
  <bookViews>
    <workbookView xWindow="-108" yWindow="-108" windowWidth="23256" windowHeight="13176" firstSheet="8" activeTab="11" xr2:uid="{00000000-000D-0000-FFFF-FFFF00000000}"/>
  </bookViews>
  <sheets>
    <sheet name="Cover" sheetId="1" r:id="rId1"/>
    <sheet name="Test Report" sheetId="2" r:id="rId2"/>
    <sheet name="Authentication" sheetId="3" r:id="rId3"/>
    <sheet name="Authorization" sheetId="4" r:id="rId4"/>
    <sheet name="Users" sheetId="5" r:id="rId5"/>
    <sheet name="Organization_HR" sheetId="6" r:id="rId6"/>
    <sheet name="CRM" sheetId="7" r:id="rId7"/>
    <sheet name="Operations_Workflow" sheetId="8" r:id="rId8"/>
    <sheet name="Finance_Inventory" sheetId="9" r:id="rId9"/>
    <sheet name="KPI_OKR_Evaluation" sheetId="10" r:id="rId10"/>
    <sheet name="Resource_Maintenance" sheetId="11" r:id="rId11"/>
    <sheet name="Reports_AI_Backup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2" l="1"/>
  <c r="B7" i="12"/>
  <c r="B6" i="12"/>
  <c r="B8" i="11"/>
  <c r="B7" i="11"/>
  <c r="B6" i="11"/>
  <c r="B8" i="10"/>
  <c r="B7" i="10"/>
  <c r="B6" i="10"/>
  <c r="B8" i="9"/>
  <c r="B7" i="9"/>
  <c r="B6" i="9"/>
  <c r="B8" i="8"/>
  <c r="B7" i="8"/>
  <c r="B6" i="8"/>
  <c r="B8" i="7"/>
  <c r="B7" i="7"/>
  <c r="B6" i="7"/>
  <c r="B8" i="6"/>
  <c r="B7" i="6"/>
  <c r="B6" i="6"/>
  <c r="B8" i="5"/>
  <c r="B7" i="5"/>
  <c r="B6" i="5"/>
  <c r="B8" i="4"/>
  <c r="B7" i="4"/>
  <c r="B6" i="4"/>
  <c r="B8" i="3"/>
  <c r="B7" i="3"/>
  <c r="B6" i="3"/>
</calcChain>
</file>

<file path=xl/sharedStrings.xml><?xml version="1.0" encoding="utf-8"?>
<sst xmlns="http://schemas.openxmlformats.org/spreadsheetml/2006/main" count="1069" uniqueCount="588">
  <si>
    <t>OMNIBIZAI - TEST CASES EXECUTED</t>
  </si>
  <si>
    <t>Dự án</t>
  </si>
  <si>
    <t>OmniBizAI - Hệ thống quản trị doanh nghiệp đa module có AI</t>
  </si>
  <si>
    <t>Thời gian test</t>
  </si>
  <si>
    <t>01/06/2026 - 30/06/2026</t>
  </si>
  <si>
    <t>Phương pháp</t>
  </si>
  <si>
    <t>Static source analysis, build verification, startup verification; runtime UI/API marked Blocked where environment/session required.</t>
  </si>
  <si>
    <t>Build</t>
  </si>
  <si>
    <t>Pass - dotnet build succeeded; có warning NU1903.</t>
  </si>
  <si>
    <t>Startup</t>
  </si>
  <si>
    <t>Pass with warnings - app listening on http://localhost:5005; DataProtection/EF warnings recorded as bugs.</t>
  </si>
  <si>
    <t>Tổng test case</t>
  </si>
  <si>
    <t>Pass</t>
  </si>
  <si>
    <t>Fail</t>
  </si>
  <si>
    <t>Blocked</t>
  </si>
  <si>
    <t>TEST REPORT</t>
  </si>
  <si>
    <t>Module</t>
  </si>
  <si>
    <t>Total</t>
  </si>
  <si>
    <t>High/Critical Bugs</t>
  </si>
  <si>
    <t>Ghi chú</t>
  </si>
  <si>
    <t>Authentication</t>
  </si>
  <si>
    <t>Dựa trên source/build/startup; UI runtime cần test tiếp.</t>
  </si>
  <si>
    <t>Authorization</t>
  </si>
  <si>
    <t>Users</t>
  </si>
  <si>
    <t>Organization_HR</t>
  </si>
  <si>
    <t>CRM</t>
  </si>
  <si>
    <t>Operations_Workflow</t>
  </si>
  <si>
    <t>Finance_Inventory</t>
  </si>
  <si>
    <t>KPI_OKR_Evaluation</t>
  </si>
  <si>
    <t>Resource_Maintenance</t>
  </si>
  <si>
    <t>Reports_AI_Backup</t>
  </si>
  <si>
    <t>TEST CASE</t>
  </si>
  <si>
    <t>System Name:</t>
  </si>
  <si>
    <t>OmniBizAI</t>
  </si>
  <si>
    <t>Module Code:</t>
  </si>
  <si>
    <t>Test requirement:</t>
  </si>
  <si>
    <t>Test cases cho module Authentication</t>
  </si>
  <si>
    <t>Number of test cases:</t>
  </si>
  <si>
    <t>Test Case ID</t>
  </si>
  <si>
    <t>No</t>
  </si>
  <si>
    <t>Test Case Description (Scenario)</t>
  </si>
  <si>
    <t>Test Case Procedure</t>
  </si>
  <si>
    <t>Expected Output</t>
  </si>
  <si>
    <t>Test date</t>
  </si>
  <si>
    <t>Result</t>
  </si>
  <si>
    <t>Actual Result</t>
  </si>
  <si>
    <t>Severity</t>
  </si>
  <si>
    <t>Bug ID</t>
  </si>
  <si>
    <t>TC_LOGIN_001</t>
  </si>
  <si>
    <t>Đăng nhập thành công bằng tài khoản seed sysadmin</t>
  </si>
  <si>
    <t>1. Mở /Account/Login
2. Nhập sysadmin@omnibiz.vn / 123
3. Submit</t>
  </si>
  <si>
    <t>Đăng nhập thành công và chuyển về Dashboard</t>
  </si>
  <si>
    <t>06/06/2026</t>
  </si>
  <si>
    <t>Chưa thực hiện UI login end-to-end do phiên runtime bị lỗi DataProtection key ring; build/startup đã kiểm tra.</t>
  </si>
  <si>
    <t>TC_LOGIN_002</t>
  </si>
  <si>
    <t>Đăng nhập sai mật khẩu hiển thị thông báo lỗi</t>
  </si>
  <si>
    <t>1. Mở /Account/Login
2. Nhập user hợp lệ và password sai
3. Submit</t>
  </si>
  <si>
    <t>Hiển thị lỗi tên đăng nhập hoặc mật khẩu không đúng; tăng AccessFailedCount</t>
  </si>
  <si>
    <t>Cần phiên đăng nhập thực tế và DB test.</t>
  </si>
  <si>
    <t>TC_LOGIN_003</t>
  </si>
  <si>
    <t>Khóa tài khoản sau 5 lần sai mật khẩu</t>
  </si>
  <si>
    <t>1. Nhập sai password 5 lần
2. Submit lần tiếp theo</t>
  </si>
  <si>
    <t>Tài khoản bị lock 15 phút theo cấu hình Identity</t>
  </si>
  <si>
    <t>Code cấu hình MaxFailedAccessAttempts=5, DefaultLockoutTimeSpan=15 phút, lockoutOnFailure=true.</t>
  </si>
  <si>
    <t>TC_LOGIN_004</t>
  </si>
  <si>
    <t>Validate bỏ trống username/password</t>
  </si>
  <si>
    <t>1. Mở Login
2. Để trống trường bắt buộc
3. Submit</t>
  </si>
  <si>
    <t>Form giữ lại trang và hiển thị lỗi validation</t>
  </si>
  <si>
    <t>Login POST kiểm tra ModelState.IsValid.</t>
  </si>
  <si>
    <t>TC_LOGIN_005</t>
  </si>
  <si>
    <t>ReturnUrl chỉ cho phép URL nội bộ</t>
  </si>
  <si>
    <t>1. Login với returnUrl ngoài domain
2. Submit thành công</t>
  </si>
  <si>
    <t>Không redirect ra domain ngoài</t>
  </si>
  <si>
    <t>Code dùng Url.IsLocalUrl trước Redirect.</t>
  </si>
  <si>
    <t>TC_LOGOUT_001</t>
  </si>
  <si>
    <t>Đăng xuất bằng POST có anti-forgery</t>
  </si>
  <si>
    <t>1. Đăng nhập
2. Submit form Logout</t>
  </si>
  <si>
    <t>Xóa cookie đăng nhập và chuyển về /Account/Login</t>
  </si>
  <si>
    <t>Logout có HttpPost và ValidateAntiForgeryToken.</t>
  </si>
  <si>
    <t>TC_FORGOT_001</t>
  </si>
  <si>
    <t>Quên mật khẩu không tiết lộ email không tồn tại</t>
  </si>
  <si>
    <t>1. Nhập email không tồn tại
2. Submit</t>
  </si>
  <si>
    <t>Vẫn chuyển đến trang xác nhận</t>
  </si>
  <si>
    <t>Code luôn RedirectToAction ForgotPasswordConfirmation.</t>
  </si>
  <si>
    <t>TC_FORGOT_002</t>
  </si>
  <si>
    <t>Rate limit gửi quên mật khẩu theo IP</t>
  </si>
  <si>
    <t>1. Gửi ForgotPassword 2 lần trong 2 phút
2. Quan sát thông báo</t>
  </si>
  <si>
    <t>Lần 2 bị yêu cầu chờ</t>
  </si>
  <si>
    <t>Có dictionary rate limit 2 phút theo IP.</t>
  </si>
  <si>
    <t>TC_RESET_001</t>
  </si>
  <si>
    <t>Reset password với token rỗng</t>
  </si>
  <si>
    <t>1. Gọi /Account/ResetPassword không có token
2. Quan sát</t>
  </si>
  <si>
    <t>Redirect về Login</t>
  </si>
  <si>
    <t>GET ResetPassword kiểm tra email/token rỗng.</t>
  </si>
  <si>
    <t>TC_RESET_002</t>
  </si>
  <si>
    <t>Admin reset password chỉ role admin</t>
  </si>
  <si>
    <t>1. Staff truy cập AdminResetPassword
2. Admin truy cập</t>
  </si>
  <si>
    <t>Staff bị AccessDenied, admin được phép</t>
  </si>
  <si>
    <t>Action gắn Authorize TENANT_ADMIN,SYSTEM_ADMIN.</t>
  </si>
  <si>
    <t>TC_AUTH_001</t>
  </si>
  <si>
    <t>[BUG] DataProtection key ring bị UnauthorizedAccess khi startup</t>
  </si>
  <si>
    <t>1. Chạy dotnet run --no-build --urls http://localhost:5005
2. Quan sát log</t>
  </si>
  <si>
    <t>App đọc/ghi key ring ổn định, không có lỗi DataProtection</t>
  </si>
  <si>
    <t>Startup log báo UnauthorizedAccess tới AppData\Local\ASP.NET\DataProtection-Keys; có thể ảnh hưởng cookie/auth token.</t>
  </si>
  <si>
    <t>High</t>
  </si>
  <si>
    <t>BUG-001</t>
  </si>
  <si>
    <t>Test cases cho module Authorization</t>
  </si>
  <si>
    <t>TC_ROLE_001</t>
  </si>
  <si>
    <t>Chặn truy cập Dashboard khi chưa đăng nhập</t>
  </si>
  <si>
    <t>1. Gọi /Dashboard
2. Không có cookie auth</t>
  </si>
  <si>
    <t>Redirect đến /Account/Login</t>
  </si>
  <si>
    <t>DashboardController có [Authorize].</t>
  </si>
  <si>
    <t>TC_ROLE_002</t>
  </si>
  <si>
    <t>UsersController chỉ admin/tenant admin</t>
  </si>
  <si>
    <t>1. Staff truy cập /Users
2. Admin truy cập /Users</t>
  </si>
  <si>
    <t>Staff AccessDenied; admin xem danh sách</t>
  </si>
  <si>
    <t>Class UsersController có Authorize TENANT_ADMIN,SYSTEM_ADMIN.</t>
  </si>
  <si>
    <t>TC_ROLE_003</t>
  </si>
  <si>
    <t>Reports chỉ Executive/Manager/Admin</t>
  </si>
  <si>
    <t>1. Staff truy cập /Reports/Dashboard
2. Manager truy cập</t>
  </si>
  <si>
    <t>Staff bị từ chối; Manager được phép</t>
  </si>
  <si>
    <t>ReportsController giới hạn roles EXECUTIVE,DEPARTMENT_MANAGER,TENANT_ADMIN,SYSTEM_ADMIN.</t>
  </si>
  <si>
    <t>TC_ROLE_004</t>
  </si>
  <si>
    <t>Audit log chỉ Auditor/Admin</t>
  </si>
  <si>
    <t>1. Staff truy cập /Audit
2. Auditor/Admin truy cập</t>
  </si>
  <si>
    <t>Staff bị từ chối; Auditor/Admin xem log</t>
  </si>
  <si>
    <t>Audit Index có Authorize AUDITOR,SYSTEM_ADMIN,TENANT_ADMIN.</t>
  </si>
  <si>
    <t>TC_ROLE_005</t>
  </si>
  <si>
    <t>Action xóa customer chỉ Admin</t>
  </si>
  <si>
    <t>1. Staff POST Delete customer
2. Admin POST Delete</t>
  </si>
  <si>
    <t>Staff bị chặn; Admin được xóa mềm</t>
  </si>
  <si>
    <t>Customers.Delete có Authorize TENANT_ADMIN,SYSTEM_ADMIN.</t>
  </si>
  <si>
    <t>TC_ROLE_006</t>
  </si>
  <si>
    <t>[BUG] Endpoint mô phỏng sensor mở anonymous</t>
  </si>
  <si>
    <t>1. Không đăng nhập
2. GET /Maintenance/QuickSimulate</t>
  </si>
  <si>
    <t>Endpoint ghi dữ liệu phải yêu cầu đăng nhập và POST + CSRF</t>
  </si>
  <si>
    <t>Action có [AllowAnonymous] + HttpGet và gọi SimulateSensorDataAsync.</t>
  </si>
  <si>
    <t>Critical</t>
  </si>
  <si>
    <t>BUG-002</t>
  </si>
  <si>
    <t>TC_ROLE_007</t>
  </si>
  <si>
    <t>Chặn POST thiếu anti-forgery trên các form chính</t>
  </si>
  <si>
    <t>1. POST Create/Edit/Delete không token
2. Quan sát</t>
  </si>
  <si>
    <t>Request bị chặn bởi ValidateAntiForgeryToken</t>
  </si>
  <si>
    <t>Đa số action POST CRUD có ValidateAntiForgeryToken.</t>
  </si>
  <si>
    <t>TC_ROLE_008</t>
  </si>
  <si>
    <t>[BUG] Workflow RenameColumn POST JSON thiếu ValidateAntiForgeryToken</t>
  </si>
  <si>
    <t>1. Đăng nhập role hợp lệ
2. POST /Workflow/RenameColumn không anti-forgery token</t>
  </si>
  <si>
    <t>Các thay đổi Kanban phải được bảo vệ CSRF</t>
  </si>
  <si>
    <t>Action RenameColumn có [HttpPost] nhưng không có ValidateAntiForgeryToken.</t>
  </si>
  <si>
    <t>Medium</t>
  </si>
  <si>
    <t>BUG-003</t>
  </si>
  <si>
    <t>Test cases cho module Users</t>
  </si>
  <si>
    <t>TC_USER_001</t>
  </si>
  <si>
    <t>Tạo user mới với email hợp lệ</t>
  </si>
  <si>
    <t>1. Admin mở /Users/Create
2. Nhập thông tin hợp lệ
3. Submit</t>
  </si>
  <si>
    <t>User Identity và AppUser được tạo, role được gán</t>
  </si>
  <si>
    <t>Cần thực thi UI/DB để xác nhận.</t>
  </si>
  <si>
    <t>TC_USER_002</t>
  </si>
  <si>
    <t>Validate email sai định dạng khi tạo user</t>
  </si>
  <si>
    <t>1. Nhập email sai
2. Submit</t>
  </si>
  <si>
    <t>Hiển thị lỗi email không hợp lệ</t>
  </si>
  <si>
    <t>ViewModel có EmailAddress.</t>
  </si>
  <si>
    <t>TC_USER_003</t>
  </si>
  <si>
    <t>Không cho trùng email Identity/AppUser</t>
  </si>
  <si>
    <t>1. Tạo user với email đã có
2. Submit</t>
  </si>
  <si>
    <t>Hiển thị lỗi trùng email, không tạo mới</t>
  </si>
  <si>
    <t>Code Users.Create kiểm tra tồn tại user/email.</t>
  </si>
  <si>
    <t>TC_USER_004</t>
  </si>
  <si>
    <t>Sửa user cập nhật họ tên/phòng ban/role</t>
  </si>
  <si>
    <t>1. Admin mở Edit
2. Cập nhật dữ liệu
3. Submit</t>
  </si>
  <si>
    <t>Dữ liệu AppUser và role được cập nhật</t>
  </si>
  <si>
    <t>Cần DB/runtime.</t>
  </si>
  <si>
    <t>TC_USER_005</t>
  </si>
  <si>
    <t>Khóa/mở khóa user</t>
  </si>
  <si>
    <t>1. Admin ToggleLock
2. Kiểm tra trạng thái lock</t>
  </si>
  <si>
    <t>LockoutEnd thay đổi đúng</t>
  </si>
  <si>
    <t>Cần runtime và user test.</t>
  </si>
  <si>
    <t>TC_USER_006</t>
  </si>
  <si>
    <t>Xóa user đang tồn tại</t>
  </si>
  <si>
    <t>1. Admin Delete user
2. Mở danh sách</t>
  </si>
  <si>
    <t>User bị soft delete/ẩn khỏi danh sách</t>
  </si>
  <si>
    <t>Cần kiểm tra DB sau thao tác.</t>
  </si>
  <si>
    <t>TC_USER_007</t>
  </si>
  <si>
    <t>Tìm kiếm user theo tên/email</t>
  </si>
  <si>
    <t>1. Mở /Users?search=...
2. Quan sát danh sách</t>
  </si>
  <si>
    <t>Danh sách lọc đúng theo FullName/Email</t>
  </si>
  <si>
    <t>Index filter theo Contains FullName hoặc Email.</t>
  </si>
  <si>
    <t>TC_PROFILE_001</t>
  </si>
  <si>
    <t>Người dùng sửa profile cá nhân</t>
  </si>
  <si>
    <t>1. Đăng nhập
2. Mở /Profile/Edit
3. Submit dữ liệu hợp lệ</t>
  </si>
  <si>
    <t>Profile cập nhật và quay về trang Profile</t>
  </si>
  <si>
    <t>Cần phiên đăng nhập.</t>
  </si>
  <si>
    <t>TC_PROFILE_002</t>
  </si>
  <si>
    <t>Đổi mật khẩu sai mật khẩu hiện tại</t>
  </si>
  <si>
    <t>1. Mở ChangePassword
2. Nhập old password sai
3. Submit</t>
  </si>
  <si>
    <t>Hiển thị lỗi, mật khẩu không đổi</t>
  </si>
  <si>
    <t>Test cases cho module Organization_HR</t>
  </si>
  <si>
    <t>TC_ORG_001</t>
  </si>
  <si>
    <t>Tạo phòng ban mới</t>
  </si>
  <si>
    <t>1. Admin mở /Organization/Create
2. Nhập Code/Name hợp lệ
3. Submit</t>
  </si>
  <si>
    <t>Phòng ban tạo thành công, có audit log</t>
  </si>
  <si>
    <t>Cần runtime.</t>
  </si>
  <si>
    <t>TC_ORG_002</t>
  </si>
  <si>
    <t>Không cho trùng mã phòng ban</t>
  </si>
  <si>
    <t>1. Tạo Code đã tồn tại
2. Submit</t>
  </si>
  <si>
    <t>Hiển thị lỗi 'Mã phòng ban đã tồn tại'</t>
  </si>
  <si>
    <t>Code Create/Edit kiểm tra duplicate Code theo Tenant.</t>
  </si>
  <si>
    <t>TC_ORG_003</t>
  </si>
  <si>
    <t>Không xóa phòng ban có nhân viên/đơn vị con</t>
  </si>
  <si>
    <t>1. Delete phòng ban đang có child/employee
2. Quan sát</t>
  </si>
  <si>
    <t>Không xóa, hiển thị lỗi</t>
  </si>
  <si>
    <t>Delete kiểm tra hasChildren/hasEmployees.</t>
  </si>
  <si>
    <t>TC_ORG_004</t>
  </si>
  <si>
    <t>Chuyển nhân viên sang phòng ban khác</t>
  </si>
  <si>
    <t>1. Vào Details phòng ban
2. MoveEmployee sang dept khác</t>
  </si>
  <si>
    <t>OrganizationUnitId của nhân viên cập nhật và có audit</t>
  </si>
  <si>
    <t>TC_EMP_001</t>
  </si>
  <si>
    <t>Tạo hồ sơ nhân viên</t>
  </si>
  <si>
    <t>1. Manager/Admin mở /Employees/Create
2. Submit hợp lệ</t>
  </si>
  <si>
    <t>EmployeeProfile/AppUser liên quan được tạo</t>
  </si>
  <si>
    <t>TC_EMP_002</t>
  </si>
  <si>
    <t>Lọc nhân viên theo phòng ban</t>
  </si>
  <si>
    <t>1. Mở /Employees?dept={id}
2. Quan sát</t>
  </si>
  <si>
    <t>Danh sách chỉ có nhân viên phòng ban chọn</t>
  </si>
  <si>
    <t>Cần dữ liệu runtime.</t>
  </si>
  <si>
    <t>TC_POS_001</t>
  </si>
  <si>
    <t>Tạo chức vụ</t>
  </si>
  <si>
    <t>1. Admin mở /Positions/Create
2. Submit hợp lệ</t>
  </si>
  <si>
    <t>Chức vụ được tạo</t>
  </si>
  <si>
    <t>TC_LEAVE_001</t>
  </si>
  <si>
    <t>Nhân viên tạo đơn nghỉ phép</t>
  </si>
  <si>
    <t>1. Đăng nhập staff
2. Mở /Leave/Create
3. Submit hợp lệ</t>
  </si>
  <si>
    <t>Đơn nghỉ tạo trạng thái chờ duyệt</t>
  </si>
  <si>
    <t>TC_LEAVE_002</t>
  </si>
  <si>
    <t>Manager duyệt/từ chối đơn nghỉ</t>
  </si>
  <si>
    <t>1. Manager mở /Leave
2. Approve/Reject</t>
  </si>
  <si>
    <t>Trạng thái đơn cập nhật đúng</t>
  </si>
  <si>
    <t>Test cases cho module CRM</t>
  </si>
  <si>
    <t>TC_CRM_001</t>
  </si>
  <si>
    <t>Tạo khách hàng mới</t>
  </si>
  <si>
    <t>1. Mở /Customers/Create
2. Nhập Code/Name/TaxCode
3. Submit</t>
  </si>
  <si>
    <t>Khách hàng được tạo và hiển thị danh sách</t>
  </si>
  <si>
    <t>TC_CRM_002</t>
  </si>
  <si>
    <t>Sửa khách hàng</t>
  </si>
  <si>
    <t>1. Mở /Customers/Edit/{id}
2. Cập nhật ngành/trạng thái
3. Submit</t>
  </si>
  <si>
    <t>Thông tin khách hàng cập nhật</t>
  </si>
  <si>
    <t>TC_CRM_003</t>
  </si>
  <si>
    <t>Tìm kiếm/lọc khách hàng</t>
  </si>
  <si>
    <t>1. Mở /Customers?search=...&amp;industry=...
2. Quan sát</t>
  </si>
  <si>
    <t>Danh sách lọc theo tên/code/ngành</t>
  </si>
  <si>
    <t>Index có tham số search, industry.</t>
  </si>
  <si>
    <t>TC_CRM_004</t>
  </si>
  <si>
    <t>Thêm contact khách hàng</t>
  </si>
  <si>
    <t>1. Vào customer details
2. AddContact hợp lệ</t>
  </si>
  <si>
    <t>Contact lưu vào CustomerContacts</t>
  </si>
  <si>
    <t>TC_CRM_005</t>
  </si>
  <si>
    <t>Set primary contact</t>
  </si>
  <si>
    <t>1. POST TogglePrimary contact
2. Kiểm tra danh sách</t>
  </si>
  <si>
    <t>Chỉ một primary contact cho customer</t>
  </si>
  <si>
    <t>TC_VENDOR_001</t>
  </si>
  <si>
    <t>Tạo nhà cung cấp</t>
  </si>
  <si>
    <t>1. Mở /Vendors/Create
2. Submit hợp lệ</t>
  </si>
  <si>
    <t>Vendor được tạo</t>
  </si>
  <si>
    <t>TC_PRODUCT_001</t>
  </si>
  <si>
    <t>Tạo sản phẩm/dịch vụ</t>
  </si>
  <si>
    <t>1. Mở /Products/Create
2. Nhập code/name/type/price
3. Submit</t>
  </si>
  <si>
    <t>ProductService được tạo</t>
  </si>
  <si>
    <t>TC_PRODUCT_002</t>
  </si>
  <si>
    <t>Validate đơn giá âm</t>
  </si>
  <si>
    <t>1. Nhập StandardPrice âm
2. Submit</t>
  </si>
  <si>
    <t>Hiển thị lỗi giá không hợp lệ</t>
  </si>
  <si>
    <t>ViewModel có Range(0, double.MaxValue).</t>
  </si>
  <si>
    <t>TC_OPP_001</t>
  </si>
  <si>
    <t>Tạo cơ hội bán hàng</t>
  </si>
  <si>
    <t>1. Mở /SalesOpportunity/Create
2. Nhập customer/value/stage
3. Submit</t>
  </si>
  <si>
    <t>Opportunity được tạo</t>
  </si>
  <si>
    <t>TC_OPP_002</t>
  </si>
  <si>
    <t>Validate xác suất ngoài 0-100</t>
  </si>
  <si>
    <t>1. Nhập Probability=101
2. Submit</t>
  </si>
  <si>
    <t>Hiển thị lỗi xác suất từ 0-100</t>
  </si>
  <si>
    <t>ViewModel có Range(0,100).</t>
  </si>
  <si>
    <t>TC_CARE_001</t>
  </si>
  <si>
    <t>Tạo lịch chăm sóc khách hàng</t>
  </si>
  <si>
    <t>1. Mở /CustomerCare/Create
2. Submit hợp lệ</t>
  </si>
  <si>
    <t>Interaction được tạo</t>
  </si>
  <si>
    <t>TC_CARE_002</t>
  </si>
  <si>
    <t>Start/Complete/Cancel interaction</t>
  </si>
  <si>
    <t>1. Vào interaction detail
2. Start, Complete hoặc Cancel</t>
  </si>
  <si>
    <t>Trạng thái thay đổi hợp lệ</t>
  </si>
  <si>
    <t>Test cases cho module Operations_Workflow</t>
  </si>
  <si>
    <t>TC_OPS_001</t>
  </si>
  <si>
    <t>Tạo yêu cầu vận hành</t>
  </si>
  <si>
    <t>1. Mở /Operations/Create
2. Nhập title/type/dept/due date hợp lệ
3. Submit</t>
  </si>
  <si>
    <t>Yêu cầu tạo thành công và gửi notification manager</t>
  </si>
  <si>
    <t>TC_OPS_002</t>
  </si>
  <si>
    <t>Validate due date quá khứ</t>
  </si>
  <si>
    <t>1. Nhập DueDate &lt; Today
2. Submit</t>
  </si>
  <si>
    <t>Hiển thị lỗi hạn xử lý không được nhỏ hơn hôm nay</t>
  </si>
  <si>
    <t>Operations.Create POST kiểm tra DueDate.</t>
  </si>
  <si>
    <t>TC_OPS_003</t>
  </si>
  <si>
    <t>Submit yêu cầu chờ duyệt</t>
  </si>
  <si>
    <t>1. Mở Details yêu cầu Draft
2. Submit</t>
  </si>
  <si>
    <t>Status chuyển trạng thái chờ duyệt</t>
  </si>
  <si>
    <t>Cần dữ liệu trạng thái.</t>
  </si>
  <si>
    <t>TC_OPS_004</t>
  </si>
  <si>
    <t>StartWork chỉ manager/admin</t>
  </si>
  <si>
    <t>1. Staff POST StartWork
2. Manager POST StartWork</t>
  </si>
  <si>
    <t>Staff bị chặn, Manager được bắt đầu xử lý</t>
  </si>
  <si>
    <t>Action có Authorize DEPARTMENT_MANAGER,TENANT_ADMIN,SYSTEM_ADMIN.</t>
  </si>
  <si>
    <t>TC_OPS_005</t>
  </si>
  <si>
    <t>AddLine với số lượng hợp lệ</t>
  </si>
  <si>
    <t>1. Vào Details
2. AddLine item/quantity
3. Submit</t>
  </si>
  <si>
    <t>Line được thêm vào yêu cầu</t>
  </si>
  <si>
    <t>TC_OPS_006</t>
  </si>
  <si>
    <t>AddComment bỏ trống</t>
  </si>
  <si>
    <t>1. POST AddComment content trống</t>
  </si>
  <si>
    <t>Hiển thị lỗi nội dung không được để trống</t>
  </si>
  <si>
    <t>Controller kiểm tra string.IsNullOrWhiteSpace.</t>
  </si>
  <si>
    <t>TC_OPS_007</t>
  </si>
  <si>
    <t>Hold/Resume/Reopen yêu cầu</t>
  </si>
  <si>
    <t>1. POST Hold
2. POST Resume/Reopen</t>
  </si>
  <si>
    <t>Trạng thái đổi đúng theo workflow</t>
  </si>
  <si>
    <t>TC_KANBAN_001</t>
  </si>
  <si>
    <t>Tạo work item trong Kanban</t>
  </si>
  <si>
    <t>1. Mở /Workflow/Kanban
2. Submit form Create</t>
  </si>
  <si>
    <t>Card tạo ở cột mặc định</t>
  </si>
  <si>
    <t>TC_KANBAN_002</t>
  </si>
  <si>
    <t>Di chuyển card giữa cột</t>
  </si>
  <si>
    <t>1. POST /Workflow/Move
2. Quan sát cột mới</t>
  </si>
  <si>
    <t>Card đổi cột/sort order</t>
  </si>
  <si>
    <t>TC_KANBAN_003</t>
  </si>
  <si>
    <t>Checklist work item</t>
  </si>
  <si>
    <t>1. AddChecklist
2. ToggleChecklist
3. DeleteChecklist</t>
  </si>
  <si>
    <t>Checklist thêm, tick, xóa đúng</t>
  </si>
  <si>
    <t>TC_APPROVAL_001</t>
  </si>
  <si>
    <t>Manager duyệt approval task</t>
  </si>
  <si>
    <t>1. Mở /Approvals/MyTasks
2. Approve task</t>
  </si>
  <si>
    <t>Task chuyển Approved và workflow tiếp tục</t>
  </si>
  <si>
    <t>TC_APPROVAL_002</t>
  </si>
  <si>
    <t>Reject bắt buộc reason</t>
  </si>
  <si>
    <t>1. POST Reject reason trống</t>
  </si>
  <si>
    <t>Không cho reject nếu thiếu lý do</t>
  </si>
  <si>
    <t>Cần kiểm tra service/model validation.</t>
  </si>
  <si>
    <t>TC_PLAN_001</t>
  </si>
  <si>
    <t>Tạo kế hoạch vận hành</t>
  </si>
  <si>
    <t>1. Mở /OperationPlans/Create
2. Submit hợp lệ</t>
  </si>
  <si>
    <t>OperationPlan được tạo</t>
  </si>
  <si>
    <t>TC_PLAN_002</t>
  </si>
  <si>
    <t>Thêm task vào kế hoạch</t>
  </si>
  <si>
    <t>1. Mở /OperationPlans/AddTask
2. Submit hợp lệ</t>
  </si>
  <si>
    <t>PlanTask được thêm</t>
  </si>
  <si>
    <t>Test cases cho module Finance_Inventory</t>
  </si>
  <si>
    <t>TC_FIN_001</t>
  </si>
  <si>
    <t>Tạo ngân sách</t>
  </si>
  <si>
    <t>1. Mở /Finance/BudgetCreate
2. Nhập năm/số tiền/phòng ban
3. Submit</t>
  </si>
  <si>
    <t>Budget được tạo</t>
  </si>
  <si>
    <t>TC_FIN_002</t>
  </si>
  <si>
    <t>Validate planned amount &lt;=0</t>
  </si>
  <si>
    <t>1. Nhập PlannedAmount=0
2. Submit</t>
  </si>
  <si>
    <t>Hiển thị lỗi số tiền phải lớn hơn 0</t>
  </si>
  <si>
    <t>ViewModel BudgetCreate có Range(0.01,...).</t>
  </si>
  <si>
    <t>TC_FIN_003</t>
  </si>
  <si>
    <t>Đóng ngân sách</t>
  </si>
  <si>
    <t>1. POST BudgetClose
2. Mở chi tiết</t>
  </si>
  <si>
    <t>Budget chuyển trạng thái đóng</t>
  </si>
  <si>
    <t>TC_PAYMENT_001</t>
  </si>
  <si>
    <t>Tạo đề nghị thanh toán</t>
  </si>
  <si>
    <t>1. Mở /Finance/PaymentCreate
2. Submit hợp lệ</t>
  </si>
  <si>
    <t>PaymentRequest tạo thành công</t>
  </si>
  <si>
    <t>TC_PAYMENT_002</t>
  </si>
  <si>
    <t>Submit/Approve/Reject/MarkPaid payment</t>
  </si>
  <si>
    <t>1. Submit payment
2. Approve/Reject/MarkPaid theo role</t>
  </si>
  <si>
    <t>Status thay đổi đúng</t>
  </si>
  <si>
    <t>TC_CASH_001</t>
  </si>
  <si>
    <t>Tạo giao dịch thu/chi</t>
  </si>
  <si>
    <t>1. Mở /CashBook/Create?type=Income
2. Submit hợp lệ</t>
  </si>
  <si>
    <t>CashTransaction tạo trạng thái phù hợp</t>
  </si>
  <si>
    <t>TC_CASH_002</t>
  </si>
  <si>
    <t>Void giao dịch chỉ accountant/admin</t>
  </si>
  <si>
    <t>1. Staff POST Void
2. Accountant POST Void</t>
  </si>
  <si>
    <t>Staff bị chặn, Accountant được void</t>
  </si>
  <si>
    <t>Action Void giới hạn ACCOUNTANT,TENANT_ADMIN,SYSTEM_ADMIN.</t>
  </si>
  <si>
    <t>TC_PROC_001</t>
  </si>
  <si>
    <t>Tạo yêu cầu mua hàng</t>
  </si>
  <si>
    <t>1. Mở /Procurement/Create
2. Submit hợp lệ</t>
  </si>
  <si>
    <t>ProcurementRequest tạo thành công</t>
  </si>
  <si>
    <t>TC_PO_001</t>
  </si>
  <si>
    <t>Tạo purchase order</t>
  </si>
  <si>
    <t>1. Mở /PurchaseOrders/Create
2. Submit vendor/lines</t>
  </si>
  <si>
    <t>PO được tạo</t>
  </si>
  <si>
    <t>TC_GR_001</t>
  </si>
  <si>
    <t>Tạo phiếu nhập kho</t>
  </si>
  <si>
    <t>1. Mở /GoodsReceipt/Create
2. Nhập line
3. Submit</t>
  </si>
  <si>
    <t>GoodsReceipt được tạo</t>
  </si>
  <si>
    <t>TC_GR_002</t>
  </si>
  <si>
    <t>Confirm phiếu nhập chỉ manager/admin</t>
  </si>
  <si>
    <t>1. Staff POST Confirm
2. Manager POST Confirm</t>
  </si>
  <si>
    <t>Staff bị chặn, manager xác nhận</t>
  </si>
  <si>
    <t>Confirm giới hạn DEPARTMENT_MANAGER,TENANT_ADMIN,SYSTEM_ADMIN.</t>
  </si>
  <si>
    <t>TC_GI_001</t>
  </si>
  <si>
    <t>Tạo phiếu xuất kho</t>
  </si>
  <si>
    <t>1. Mở /GoodsIssue/Create
2. Submit hợp lệ</t>
  </si>
  <si>
    <t>GoodsIssue được tạo</t>
  </si>
  <si>
    <t>TC_INV_001</t>
  </si>
  <si>
    <t>[BUG] Trang Inventory Index không hiển thị dữ liệu tồn kho</t>
  </si>
  <si>
    <t>1. Gọi /Inventory
2. Quan sát redirect</t>
  </si>
  <si>
    <t>Hiển thị Views/Inventory/Index với danh sách/lọc tồn kho</t>
  </si>
  <si>
    <t>InventoryController.Index chỉ RedirectToAction Finance.Index; các action thresholds/alerts cũng redirect.</t>
  </si>
  <si>
    <t>BUG-004</t>
  </si>
  <si>
    <t>TC_INV_002</t>
  </si>
  <si>
    <t>[BUG] SetThresholds không lưu ngưỡng tồn kho</t>
  </si>
  <si>
    <t>1. POST /Inventory/SetThresholds dữ liệu hợp lệ
2. Kiểm tra ProductService thresholds</t>
  </si>
  <si>
    <t>Ngưỡng tồn kho được cập nhật</t>
  </si>
  <si>
    <t>Action SetThresholds POST redirect thẳng, không gọi service.</t>
  </si>
  <si>
    <t>Test cases cho module KPI_OKR_Evaluation</t>
  </si>
  <si>
    <t>TC_OKR_001</t>
  </si>
  <si>
    <t>Tạo Objective OKR</t>
  </si>
  <si>
    <t>1. Mở /Okr/Create
2. Submit Objective hợp lệ</t>
  </si>
  <si>
    <t>Objective tạo thành công</t>
  </si>
  <si>
    <t>TC_OKR_002</t>
  </si>
  <si>
    <t>Cập nhật Key Result</t>
  </si>
  <si>
    <t>1. Mở /Okr/Edit
2. Cập nhật CurrentValue
3. Submit</t>
  </si>
  <si>
    <t>Progress OKR tính lại</t>
  </si>
  <si>
    <t>TC_OKR_003</t>
  </si>
  <si>
    <t>Xóa OKR chỉ manager/executive/admin</t>
  </si>
  <si>
    <t>1. Staff POST Delete
2. Manager POST Delete</t>
  </si>
  <si>
    <t>Staff bị chặn, Manager được xóa</t>
  </si>
  <si>
    <t>Okr Delete có Authorize DEPARTMENT_MANAGER,EXECUTIVE,TENANT_ADMIN,SYSTEM_ADMIN.</t>
  </si>
  <si>
    <t>TC_KPI_001</t>
  </si>
  <si>
    <t>Tạo KPI definition</t>
  </si>
  <si>
    <t>1. Mở /KpiSetup/Create
2. Submit hợp lệ</t>
  </si>
  <si>
    <t>KPI được tạo</t>
  </si>
  <si>
    <t>TC_KPI_002</t>
  </si>
  <si>
    <t>Check-in KPI</t>
  </si>
  <si>
    <t>1. Mở /KpiCheckIn/Edit
2. Nhập ProgressValue/Comment
3. Submit</t>
  </si>
  <si>
    <t>Check-in lưu và lịch sử cập nhật</t>
  </si>
  <si>
    <t>TC_KPI_003</t>
  </si>
  <si>
    <t>Validate progress/score ngoài 0-100</t>
  </si>
  <si>
    <t>1. Nhập score/progress &gt;100
2. Submit</t>
  </si>
  <si>
    <t>Hiển thị lỗi validation</t>
  </si>
  <si>
    <t>Nhiều ViewModel có Range(0,100).</t>
  </si>
  <si>
    <t>TC_EVAL_001</t>
  </si>
  <si>
    <t>Tạo kỳ đánh giá</t>
  </si>
  <si>
    <t>1. Mở /Evaluation/Create
2. Submit hợp lệ</t>
  </si>
  <si>
    <t>EvaluationPeriod tạo thành công</t>
  </si>
  <si>
    <t>TC_EVAL_002</t>
  </si>
  <si>
    <t>Danh sách đánh giá hiển thị dữ liệu theo kỳ</t>
  </si>
  <si>
    <t>1. Mở /Evaluation
2. Chọn kỳ</t>
  </si>
  <si>
    <t>Danh sách kết quả/điểm hiển thị</t>
  </si>
  <si>
    <t>TC_MISSION_001</t>
  </si>
  <si>
    <t>Cập nhật Mission/Vision</t>
  </si>
  <si>
    <t>1. Mở /MissionVision/Edit
2. Submit nội dung</t>
  </si>
  <si>
    <t>MissionVision cập nhật</t>
  </si>
  <si>
    <t>Test cases cho module Resource_Maintenance</t>
  </si>
  <si>
    <t>TC_RES_001</t>
  </si>
  <si>
    <t>Tạo thiết bị</t>
  </si>
  <si>
    <t>1. Mở /ResourceManagement/CreateEquipment
2. Submit hợp lệ</t>
  </si>
  <si>
    <t>Equipment được tạo</t>
  </si>
  <si>
    <t>TC_RES_002</t>
  </si>
  <si>
    <t>Tìm kiếm/lọc thiết bị</t>
  </si>
  <si>
    <t>1. Mở /ResourceManagement/Equipments?search=&amp;status=&amp;type=
2. Quan sát</t>
  </si>
  <si>
    <t>Danh sách lọc đúng</t>
  </si>
  <si>
    <t>Action nhận search/status/type và service xử lý.</t>
  </si>
  <si>
    <t>TC_RES_003</t>
  </si>
  <si>
    <t>Tạo ca làm việc</t>
  </si>
  <si>
    <t>1. Mở /ResourceManagement/CreateShift
2. Submit name/start/end</t>
  </si>
  <si>
    <t>WorkShift được tạo</t>
  </si>
  <si>
    <t>TC_RES_004</t>
  </si>
  <si>
    <t>Phân ca nhân viên</t>
  </si>
  <si>
    <t>1. Mở ShiftSchedule
2. AssignShift</t>
  </si>
  <si>
    <t>ShiftAssignment được tạo</t>
  </si>
  <si>
    <t>TC_RES_005</t>
  </si>
  <si>
    <t>Thêm chứng chỉ nhân viên</t>
  </si>
  <si>
    <t>1. Mở AddCertificate
2. Submit user/certificate</t>
  </si>
  <si>
    <t>Certificate được thêm</t>
  </si>
  <si>
    <t>TC_RES_006</t>
  </si>
  <si>
    <t>[BUG] Role HR_MANAGER được dùng nhưng không seed</t>
  </si>
  <si>
    <t>1. Kiểm tra seed roles
2. Kiểm tra AddCertificate authorize có HR_MANAGER</t>
  </si>
  <si>
    <t>Role được seed/gán hoặc không dùng trong authorize</t>
  </si>
  <si>
    <t>Seed chỉ tạo SYSTEM_ADMIN,TENANT_ADMIN,EXECUTIVE,DEPARTMENT_MANAGER,STAFF,ACCOUNTANT,AUDITOR; HR_MANAGER không tồn tại.</t>
  </si>
  <si>
    <t>BUG-005</t>
  </si>
  <si>
    <t>TC_MAIN_001</t>
  </si>
  <si>
    <t>Báo cáo sự cố bảo trì</t>
  </si>
  <si>
    <t>1. Mở /Maintenance/ReportIncident
2. Submit hợp lệ</t>
  </si>
  <si>
    <t>Incident được tạo</t>
  </si>
  <si>
    <t>TC_MAIN_002</t>
  </si>
  <si>
    <t>Giải quyết sự cố chỉ manager/admin</t>
  </si>
  <si>
    <t>1. Staff ResolveIncident
2. Manager ResolveIncident</t>
  </si>
  <si>
    <t>Staff bị chặn, manager cập nhật resolution</t>
  </si>
  <si>
    <t>Action ResolveIncident giới hạn role quản lý/admin.</t>
  </si>
  <si>
    <t>TC_MAIN_003</t>
  </si>
  <si>
    <t>Tạo lịch PM</t>
  </si>
  <si>
    <t>1. Mở CreatePmSchedule
2. Submit hợp lệ</t>
  </si>
  <si>
    <t>PmSchedule được tạo</t>
  </si>
  <si>
    <t>TC_MAIN_004</t>
  </si>
  <si>
    <t>Execute PM</t>
  </si>
  <si>
    <t>1. Mở ExecutePm
2. Submit CompletedDate/Technician</t>
  </si>
  <si>
    <t>MaintenanceRecord được tạo, schedule cập nhật</t>
  </si>
  <si>
    <t>TC_MAIN_005</t>
  </si>
  <si>
    <t>Điều chỉnh tồn kho phụ tùng</t>
  </si>
  <si>
    <t>1. POST AdjustStock delta +/-
2. Kiểm tra tồn</t>
  </si>
  <si>
    <t>StockQuantity cập nhật đúng</t>
  </si>
  <si>
    <t>Test cases cho module Reports_AI_Backup</t>
  </si>
  <si>
    <t>TC_REPORT_001</t>
  </si>
  <si>
    <t>Dashboard report lọc ngày/phòng ban</t>
  </si>
  <si>
    <t>1. Mở /Reports/Dashboard?from=&amp;to=&amp;dept=
2. Quan sát KPI</t>
  </si>
  <si>
    <t>Số liệu tính theo filter</t>
  </si>
  <si>
    <t>Cần runtime và dữ liệu.</t>
  </si>
  <si>
    <t>TC_REPORT_002</t>
  </si>
  <si>
    <t>Xuất CSV vận hành</t>
  </si>
  <si>
    <t>1. GET /Reports/Export?from=2026-06-01&amp;to=2026-06-30
2. Mở file CSV</t>
  </si>
  <si>
    <t>File CSV UTF-8 có header và dữ liệu vận hành</t>
  </si>
  <si>
    <t>Code tạo CSV có BOM UTF-8 và filename BaoCaoVanHanh.</t>
  </si>
  <si>
    <t>TC_REPORT_003</t>
  </si>
  <si>
    <t>Xuất CashFlow CSV</t>
  </si>
  <si>
    <t>1. GET /Reports/ExportCashFlow
2. Mở file</t>
  </si>
  <si>
    <t>File CSV thu/chi đúng cột</t>
  </si>
  <si>
    <t>Code export CashTransactions thành CSV.</t>
  </si>
  <si>
    <t>TC_REPORT_004</t>
  </si>
  <si>
    <t>Xuất Finance/HR/KPI/Inventory/CRM</t>
  </si>
  <si>
    <t>1. Mở ExportCenter
2. Tải từng CSV</t>
  </si>
  <si>
    <t>Tải được đúng file tương ứng</t>
  </si>
  <si>
    <t>Các action ExportFinance/Hr/KpiOkr/Inventory/Crm tồn tại.</t>
  </si>
  <si>
    <t>TC_AI_001</t>
  </si>
  <si>
    <t>Danh sách AI insight filter</t>
  </si>
  <si>
    <t>1. Mở /AiInsights?contextType=&amp;riskLevel=&amp;search=
2. Quan sát</t>
  </si>
  <si>
    <t>Danh sách lọc theo điều kiện</t>
  </si>
  <si>
    <t>Action gọi service GetFilteredListAsync với filter.</t>
  </si>
  <si>
    <t>TC_AI_002</t>
  </si>
  <si>
    <t>Ask AI bằng JSON hợp lệ</t>
  </si>
  <si>
    <t>1. POST /AiInsights/Ask JSON hợp lệ + token
2. Quan sát response</t>
  </si>
  <si>
    <t>Trả về kết quả phân tích hoặc lỗi AI thân thiện</t>
  </si>
  <si>
    <t>Cần Gemini key/runtime và anti-forgery token.</t>
  </si>
  <si>
    <t>TC_AI_003</t>
  </si>
  <si>
    <t>Ask AI câu hỏi quá dài</t>
  </si>
  <si>
    <t>1. Gửi Question &gt; 1000 ký tự
2. Submit</t>
  </si>
  <si>
    <t>BadRequest do ModelState invalid</t>
  </si>
  <si>
    <t>AiInsightCreateViewModel StringLength(1000), action kiểm ModelState.</t>
  </si>
  <si>
    <t>TC_AI_004</t>
  </si>
  <si>
    <t>Export insight Markdown</t>
  </si>
  <si>
    <t>1. GET /AiInsights/ExportInsight/{id}
2. Mở file</t>
  </si>
  <si>
    <t>File .md có câu hỏi/phân tích/đề xuất</t>
  </si>
  <si>
    <t>Action trả File text/markdown.</t>
  </si>
  <si>
    <t>TC_NOTIF_001</t>
  </si>
  <si>
    <t>Đánh dấu một thông báo đã đọc</t>
  </si>
  <si>
    <t>1. POST /Notifications/MarkRead/{id}
2. Kiểm tra badge</t>
  </si>
  <si>
    <t>Thông báo chuyển read</t>
  </si>
  <si>
    <t>TC_NOTIF_002</t>
  </si>
  <si>
    <t>API Recent và UnreadCount</t>
  </si>
  <si>
    <t>1. GET /Notifications/Recent
2. GET /Notifications/UnreadCount</t>
  </si>
  <si>
    <t>Trả JSON thông báo gần đây và số chưa đọc</t>
  </si>
  <si>
    <t>TC_BACKUP_001</t>
  </si>
  <si>
    <t>Tạo backup</t>
  </si>
  <si>
    <t>1. Admin mở /Backup
2. POST CreateBackup</t>
  </si>
  <si>
    <t>File backup được tạo</t>
  </si>
  <si>
    <t>Cần quyền filesystem/DB runtime.</t>
  </si>
  <si>
    <t>TC_BACKUP_002</t>
  </si>
  <si>
    <t>Export tenant JSON</t>
  </si>
  <si>
    <t>1. POST /Backup/ExportJson
2. Download file</t>
  </si>
  <si>
    <t>File JSON tenant được tạo</t>
  </si>
  <si>
    <t>TC_BACKUP_003</t>
  </si>
  <si>
    <t>Restore backup</t>
  </si>
  <si>
    <t>1. Chọn file backup
2. POST Restore</t>
  </si>
  <si>
    <t>Dữ liệu restore thành công hoặc cảnh báo rõ</t>
  </si>
  <si>
    <t>Cần môi trường riêng để tránh ảnh hưởng dữ liệu.</t>
  </si>
  <si>
    <t>TC_DB_001</t>
  </si>
  <si>
    <t>[BUG] EF global query filter required relationship warning</t>
  </si>
  <si>
    <t>1. Chạy dotnet run
2. Quan sát EF model validation</t>
  </si>
  <si>
    <t>Không có warning required navigation với filtered principal</t>
  </si>
  <si>
    <t>Log cảnh báo nhiều entity required end có global query filter, có thể gây thiếu dữ liệu liên quan.</t>
  </si>
  <si>
    <t>BUG-006</t>
  </si>
  <si>
    <t>TC_DB_002</t>
  </si>
  <si>
    <t>[BUG] Decimal precision chưa khai báo cho bảo trì/tài sản</t>
  </si>
  <si>
    <t>1. Chạy dotnet run
2. Quan sát EF warning 30000</t>
  </si>
  <si>
    <t>Tất cả decimal tiền/giờ/cost có precision rõ ràng</t>
  </si>
  <si>
    <t>Equipment.PurchasePrice, MaintenanceIncident.DowntimeHours, MaintenanceRecord.Cost... chưa cấu hình precision.</t>
  </si>
  <si>
    <t>BUG-007</t>
  </si>
  <si>
    <t>TC_BUILD_001</t>
  </si>
  <si>
    <t>Build project</t>
  </si>
  <si>
    <t>1. Chạy dotnet build
2. Quan sát kết quả</t>
  </si>
  <si>
    <t>Build succeeded, không lỗi compile</t>
  </si>
  <si>
    <t>Build succeeded với 2 warnings NU1903.</t>
  </si>
  <si>
    <t>TC_BUILD_002</t>
  </si>
  <si>
    <t>[BUG] Dependency có CVE high severity</t>
  </si>
  <si>
    <t>1. Chạy dotnet build
2. Quan sát warning NU1903</t>
  </si>
  <si>
    <t>Không có package high severity vulnerability</t>
  </si>
  <si>
    <t>Build warning NU1903 cho Microsoft.Build.Tasks.Core 17.7.2.</t>
  </si>
  <si>
    <t>BUG-008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</si>
</sst>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defaultRowHeight="14.4" x14ac:dyDescent="0.3"/>
  <cols>
    <col min="1" max="1" width="24" customWidth="1"/>
    <col min="2" max="2" width="70" customWidth="1"/>
    <col min="3" max="8" width="24" customWidth="1"/>
  </cols>
  <sheetData>
    <row r="1" spans="1:8" ht="23.4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3" spans="1:8" x14ac:dyDescent="0.3">
      <c r="A3" s="1" t="s">
        <v>1</v>
      </c>
      <c r="B3" s="1" t="s">
        <v>2</v>
      </c>
    </row>
    <row r="4" spans="1:8" x14ac:dyDescent="0.3">
      <c r="A4" s="1" t="s">
        <v>3</v>
      </c>
      <c r="B4" s="1" t="s">
        <v>4</v>
      </c>
    </row>
    <row r="5" spans="1:8" ht="28.8" x14ac:dyDescent="0.3">
      <c r="A5" s="1" t="s">
        <v>5</v>
      </c>
      <c r="B5" s="1" t="s">
        <v>6</v>
      </c>
    </row>
    <row r="6" spans="1:8" x14ac:dyDescent="0.3">
      <c r="A6" s="1" t="s">
        <v>7</v>
      </c>
      <c r="B6" s="1" t="s">
        <v>8</v>
      </c>
    </row>
    <row r="7" spans="1:8" ht="28.8" x14ac:dyDescent="0.3">
      <c r="A7" s="1" t="s">
        <v>9</v>
      </c>
      <c r="B7" s="1" t="s">
        <v>10</v>
      </c>
    </row>
    <row r="8" spans="1:8" x14ac:dyDescent="0.3">
      <c r="A8" s="1"/>
      <c r="B8" s="1"/>
    </row>
    <row r="9" spans="1:8" x14ac:dyDescent="0.3">
      <c r="A9" s="1" t="s">
        <v>11</v>
      </c>
      <c r="B9" s="1">
        <v>114</v>
      </c>
    </row>
    <row r="10" spans="1:8" x14ac:dyDescent="0.3">
      <c r="A10" s="1" t="s">
        <v>12</v>
      </c>
      <c r="B10" s="1">
        <v>39</v>
      </c>
    </row>
    <row r="11" spans="1:8" x14ac:dyDescent="0.3">
      <c r="A11" s="1" t="s">
        <v>13</v>
      </c>
      <c r="B11" s="1">
        <v>9</v>
      </c>
    </row>
    <row r="12" spans="1:8" x14ac:dyDescent="0.3">
      <c r="A12" s="1" t="s">
        <v>14</v>
      </c>
      <c r="B12" s="1">
        <v>66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4.4" x14ac:dyDescent="0.3"/>
  <cols>
    <col min="1" max="1" width="24" customWidth="1"/>
    <col min="2" max="5" width="12" customWidth="1"/>
    <col min="6" max="6" width="18" customWidth="1"/>
    <col min="7" max="7" width="48" customWidth="1"/>
  </cols>
  <sheetData>
    <row r="1" spans="1:8" ht="23.4" x14ac:dyDescent="0.3">
      <c r="A1" s="9" t="s">
        <v>15</v>
      </c>
      <c r="B1" s="10"/>
      <c r="C1" s="10"/>
      <c r="D1" s="10"/>
      <c r="E1" s="10"/>
      <c r="F1" s="10"/>
      <c r="G1" s="10"/>
      <c r="H1" s="10"/>
    </row>
    <row r="3" spans="1:8" x14ac:dyDescent="0.3">
      <c r="A3" s="2" t="s">
        <v>16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18</v>
      </c>
      <c r="G3" s="2" t="s">
        <v>19</v>
      </c>
      <c r="H3" s="2"/>
    </row>
    <row r="4" spans="1:8" x14ac:dyDescent="0.3">
      <c r="A4" t="s">
        <v>20</v>
      </c>
      <c r="B4">
        <v>11</v>
      </c>
      <c r="C4">
        <v>8</v>
      </c>
      <c r="D4">
        <v>1</v>
      </c>
      <c r="E4">
        <v>2</v>
      </c>
      <c r="F4">
        <v>1</v>
      </c>
      <c r="G4" t="s">
        <v>21</v>
      </c>
    </row>
    <row r="5" spans="1:8" x14ac:dyDescent="0.3">
      <c r="A5" t="s">
        <v>22</v>
      </c>
      <c r="B5">
        <v>8</v>
      </c>
      <c r="C5">
        <v>6</v>
      </c>
      <c r="D5">
        <v>2</v>
      </c>
      <c r="E5">
        <v>0</v>
      </c>
      <c r="F5">
        <v>1</v>
      </c>
      <c r="G5" t="s">
        <v>21</v>
      </c>
    </row>
    <row r="6" spans="1:8" x14ac:dyDescent="0.3">
      <c r="A6" t="s">
        <v>23</v>
      </c>
      <c r="B6">
        <v>9</v>
      </c>
      <c r="C6">
        <v>3</v>
      </c>
      <c r="D6">
        <v>0</v>
      </c>
      <c r="E6">
        <v>6</v>
      </c>
      <c r="F6">
        <v>0</v>
      </c>
      <c r="G6" t="s">
        <v>21</v>
      </c>
    </row>
    <row r="7" spans="1:8" x14ac:dyDescent="0.3">
      <c r="A7" t="s">
        <v>24</v>
      </c>
      <c r="B7">
        <v>9</v>
      </c>
      <c r="C7">
        <v>2</v>
      </c>
      <c r="D7">
        <v>0</v>
      </c>
      <c r="E7">
        <v>7</v>
      </c>
      <c r="F7">
        <v>0</v>
      </c>
      <c r="G7" t="s">
        <v>21</v>
      </c>
    </row>
    <row r="8" spans="1:8" x14ac:dyDescent="0.3">
      <c r="A8" t="s">
        <v>25</v>
      </c>
      <c r="B8">
        <v>12</v>
      </c>
      <c r="C8">
        <v>3</v>
      </c>
      <c r="D8">
        <v>0</v>
      </c>
      <c r="E8">
        <v>9</v>
      </c>
      <c r="F8">
        <v>0</v>
      </c>
      <c r="G8" t="s">
        <v>21</v>
      </c>
    </row>
    <row r="9" spans="1:8" x14ac:dyDescent="0.3">
      <c r="A9" t="s">
        <v>26</v>
      </c>
      <c r="B9">
        <v>14</v>
      </c>
      <c r="C9">
        <v>3</v>
      </c>
      <c r="D9">
        <v>0</v>
      </c>
      <c r="E9">
        <v>11</v>
      </c>
      <c r="F9">
        <v>0</v>
      </c>
      <c r="G9" t="s">
        <v>21</v>
      </c>
    </row>
    <row r="10" spans="1:8" x14ac:dyDescent="0.3">
      <c r="A10" t="s">
        <v>27</v>
      </c>
      <c r="B10">
        <v>14</v>
      </c>
      <c r="C10">
        <v>3</v>
      </c>
      <c r="D10">
        <v>2</v>
      </c>
      <c r="E10">
        <v>9</v>
      </c>
      <c r="F10">
        <v>2</v>
      </c>
      <c r="G10" t="s">
        <v>21</v>
      </c>
    </row>
    <row r="11" spans="1:8" x14ac:dyDescent="0.3">
      <c r="A11" t="s">
        <v>28</v>
      </c>
      <c r="B11">
        <v>9</v>
      </c>
      <c r="C11">
        <v>2</v>
      </c>
      <c r="D11">
        <v>0</v>
      </c>
      <c r="E11">
        <v>7</v>
      </c>
      <c r="F11">
        <v>0</v>
      </c>
      <c r="G11" t="s">
        <v>21</v>
      </c>
    </row>
    <row r="12" spans="1:8" x14ac:dyDescent="0.3">
      <c r="A12" t="s">
        <v>29</v>
      </c>
      <c r="B12">
        <v>11</v>
      </c>
      <c r="C12">
        <v>2</v>
      </c>
      <c r="D12">
        <v>1</v>
      </c>
      <c r="E12">
        <v>8</v>
      </c>
      <c r="F12">
        <v>0</v>
      </c>
      <c r="G12" t="s">
        <v>21</v>
      </c>
    </row>
    <row r="13" spans="1:8" x14ac:dyDescent="0.3">
      <c r="A13" t="s">
        <v>30</v>
      </c>
      <c r="B13">
        <v>17</v>
      </c>
      <c r="C13">
        <v>7</v>
      </c>
      <c r="D13">
        <v>3</v>
      </c>
      <c r="E13">
        <v>7</v>
      </c>
      <c r="F13">
        <v>1</v>
      </c>
      <c r="G13" t="s">
        <v>21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D1" workbookViewId="0">
      <pane ySplit="9" topLeftCell="A20" activePane="bottomLeft" state="frozen"/>
      <selection pane="bottomLeft" activeCell="E9" sqref="E9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28.8" x14ac:dyDescent="0.3">
      <c r="A4" s="1" t="s">
        <v>34</v>
      </c>
      <c r="B4" s="1" t="s">
        <v>20</v>
      </c>
      <c r="C4" s="1"/>
      <c r="D4" s="1"/>
      <c r="E4" s="1"/>
      <c r="F4" s="1"/>
      <c r="G4" s="1"/>
      <c r="H4" s="1"/>
      <c r="I4" s="1"/>
      <c r="J4" s="1"/>
    </row>
    <row r="5" spans="1:10" ht="86.4" x14ac:dyDescent="0.3">
      <c r="A5" s="1" t="s">
        <v>35</v>
      </c>
      <c r="B5" s="1" t="s">
        <v>36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COUNTIF(G10:G20,"Pass")</f>
        <v>9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COUNTIF(G10:G20,"Fail")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COUNTIF(G10:G20,"Blocked")</f>
        <v>0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11</v>
      </c>
      <c r="C9" s="3"/>
      <c r="D9" s="3"/>
      <c r="E9" s="1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43.2" x14ac:dyDescent="0.3">
      <c r="A12" s="4" t="s">
        <v>48</v>
      </c>
      <c r="B12" s="4">
        <v>1</v>
      </c>
      <c r="C12" s="4" t="s">
        <v>49</v>
      </c>
      <c r="D12" s="4" t="s">
        <v>50</v>
      </c>
      <c r="E12" s="4" t="s">
        <v>51</v>
      </c>
      <c r="F12" s="4" t="s">
        <v>52</v>
      </c>
      <c r="G12" s="7" t="s">
        <v>12</v>
      </c>
      <c r="H12" s="4" t="s">
        <v>53</v>
      </c>
      <c r="I12" s="4"/>
      <c r="J12" s="4"/>
    </row>
    <row r="13" spans="1:10" ht="43.2" x14ac:dyDescent="0.3">
      <c r="A13" s="4" t="s">
        <v>54</v>
      </c>
      <c r="B13" s="4">
        <v>2</v>
      </c>
      <c r="C13" s="4" t="s">
        <v>55</v>
      </c>
      <c r="D13" s="4" t="s">
        <v>56</v>
      </c>
      <c r="E13" s="4" t="s">
        <v>57</v>
      </c>
      <c r="F13" s="4" t="s">
        <v>52</v>
      </c>
      <c r="G13" s="7" t="s">
        <v>12</v>
      </c>
      <c r="H13" s="4" t="s">
        <v>58</v>
      </c>
      <c r="I13" s="4"/>
      <c r="J13" s="4"/>
    </row>
    <row r="14" spans="1:10" ht="28.8" x14ac:dyDescent="0.3">
      <c r="A14" s="4" t="s">
        <v>59</v>
      </c>
      <c r="B14" s="4">
        <v>3</v>
      </c>
      <c r="C14" s="4" t="s">
        <v>60</v>
      </c>
      <c r="D14" s="4" t="s">
        <v>61</v>
      </c>
      <c r="E14" s="4" t="s">
        <v>62</v>
      </c>
      <c r="F14" s="4" t="s">
        <v>52</v>
      </c>
      <c r="G14" s="7" t="s">
        <v>12</v>
      </c>
      <c r="H14" s="4" t="s">
        <v>63</v>
      </c>
      <c r="I14" s="4"/>
      <c r="J14" s="4"/>
    </row>
    <row r="15" spans="1:10" ht="43.2" x14ac:dyDescent="0.3">
      <c r="A15" s="4" t="s">
        <v>64</v>
      </c>
      <c r="B15" s="4">
        <v>4</v>
      </c>
      <c r="C15" s="4" t="s">
        <v>65</v>
      </c>
      <c r="D15" s="4" t="s">
        <v>66</v>
      </c>
      <c r="E15" s="4" t="s">
        <v>67</v>
      </c>
      <c r="F15" s="4" t="s">
        <v>52</v>
      </c>
      <c r="G15" s="7" t="s">
        <v>12</v>
      </c>
      <c r="H15" s="4" t="s">
        <v>68</v>
      </c>
      <c r="I15" s="4"/>
      <c r="J15" s="4"/>
    </row>
    <row r="16" spans="1:10" ht="28.8" x14ac:dyDescent="0.3">
      <c r="A16" s="4" t="s">
        <v>69</v>
      </c>
      <c r="B16" s="4">
        <v>5</v>
      </c>
      <c r="C16" s="4" t="s">
        <v>70</v>
      </c>
      <c r="D16" s="4" t="s">
        <v>71</v>
      </c>
      <c r="E16" s="4" t="s">
        <v>72</v>
      </c>
      <c r="F16" s="4" t="s">
        <v>52</v>
      </c>
      <c r="G16" s="7" t="s">
        <v>12</v>
      </c>
      <c r="H16" s="4" t="s">
        <v>73</v>
      </c>
      <c r="I16" s="4"/>
      <c r="J16" s="4"/>
    </row>
    <row r="17" spans="1:10" ht="28.8" x14ac:dyDescent="0.3">
      <c r="A17" s="4" t="s">
        <v>74</v>
      </c>
      <c r="B17" s="4">
        <v>6</v>
      </c>
      <c r="C17" s="4" t="s">
        <v>75</v>
      </c>
      <c r="D17" s="4" t="s">
        <v>76</v>
      </c>
      <c r="E17" s="4" t="s">
        <v>77</v>
      </c>
      <c r="F17" s="4" t="s">
        <v>52</v>
      </c>
      <c r="G17" s="7" t="s">
        <v>12</v>
      </c>
      <c r="H17" s="4" t="s">
        <v>78</v>
      </c>
      <c r="I17" s="4"/>
      <c r="J17" s="4"/>
    </row>
    <row r="18" spans="1:10" ht="28.8" x14ac:dyDescent="0.3">
      <c r="A18" s="4" t="s">
        <v>79</v>
      </c>
      <c r="B18" s="4">
        <v>7</v>
      </c>
      <c r="C18" s="4" t="s">
        <v>80</v>
      </c>
      <c r="D18" s="4" t="s">
        <v>81</v>
      </c>
      <c r="E18" s="4" t="s">
        <v>82</v>
      </c>
      <c r="F18" s="4" t="s">
        <v>52</v>
      </c>
      <c r="G18" s="7" t="s">
        <v>12</v>
      </c>
      <c r="H18" s="4" t="s">
        <v>83</v>
      </c>
      <c r="I18" s="4"/>
      <c r="J18" s="4"/>
    </row>
    <row r="19" spans="1:10" ht="28.8" x14ac:dyDescent="0.3">
      <c r="A19" s="4" t="s">
        <v>84</v>
      </c>
      <c r="B19" s="4">
        <v>8</v>
      </c>
      <c r="C19" s="4" t="s">
        <v>85</v>
      </c>
      <c r="D19" s="4" t="s">
        <v>86</v>
      </c>
      <c r="E19" s="4" t="s">
        <v>87</v>
      </c>
      <c r="F19" s="4" t="s">
        <v>52</v>
      </c>
      <c r="G19" s="7" t="s">
        <v>12</v>
      </c>
      <c r="H19" s="4" t="s">
        <v>88</v>
      </c>
      <c r="I19" s="4"/>
      <c r="J19" s="4"/>
    </row>
    <row r="20" spans="1:10" ht="28.8" x14ac:dyDescent="0.3">
      <c r="A20" s="4" t="s">
        <v>89</v>
      </c>
      <c r="B20" s="4">
        <v>9</v>
      </c>
      <c r="C20" s="4" t="s">
        <v>90</v>
      </c>
      <c r="D20" s="4" t="s">
        <v>91</v>
      </c>
      <c r="E20" s="4" t="s">
        <v>92</v>
      </c>
      <c r="F20" s="4" t="s">
        <v>52</v>
      </c>
      <c r="G20" s="7" t="s">
        <v>12</v>
      </c>
      <c r="H20" s="4" t="s">
        <v>93</v>
      </c>
      <c r="I20" s="4"/>
      <c r="J20" s="4"/>
    </row>
    <row r="21" spans="1:10" ht="28.8" x14ac:dyDescent="0.3">
      <c r="A21" s="4" t="s">
        <v>94</v>
      </c>
      <c r="B21" s="4">
        <v>10</v>
      </c>
      <c r="C21" s="4" t="s">
        <v>95</v>
      </c>
      <c r="D21" s="4" t="s">
        <v>96</v>
      </c>
      <c r="E21" s="4" t="s">
        <v>97</v>
      </c>
      <c r="F21" s="4" t="s">
        <v>52</v>
      </c>
      <c r="G21" s="7" t="s">
        <v>12</v>
      </c>
      <c r="H21" s="4" t="s">
        <v>98</v>
      </c>
      <c r="I21" s="4"/>
      <c r="J21" s="4"/>
    </row>
    <row r="22" spans="1:10" ht="43.2" x14ac:dyDescent="0.3">
      <c r="A22" s="4" t="s">
        <v>99</v>
      </c>
      <c r="B22" s="4">
        <v>11</v>
      </c>
      <c r="C22" s="4" t="s">
        <v>100</v>
      </c>
      <c r="D22" s="4" t="s">
        <v>101</v>
      </c>
      <c r="E22" s="4" t="s">
        <v>102</v>
      </c>
      <c r="F22" s="4" t="s">
        <v>52</v>
      </c>
      <c r="G22" s="8" t="s">
        <v>13</v>
      </c>
      <c r="H22" s="4" t="s">
        <v>103</v>
      </c>
      <c r="I22" s="4" t="s">
        <v>104</v>
      </c>
      <c r="J22" s="4" t="s">
        <v>105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pane ySplit="9" topLeftCell="A14" activePane="bottomLeft" state="frozen"/>
      <selection pane="bottomLeft" sqref="A1:J1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28.8" x14ac:dyDescent="0.3">
      <c r="A4" s="1" t="s">
        <v>34</v>
      </c>
      <c r="B4" s="1" t="s">
        <v>22</v>
      </c>
      <c r="C4" s="1"/>
      <c r="D4" s="1"/>
      <c r="E4" s="1"/>
      <c r="F4" s="1"/>
      <c r="G4" s="1"/>
      <c r="H4" s="1"/>
      <c r="I4" s="1"/>
      <c r="J4" s="1"/>
    </row>
    <row r="5" spans="1:10" ht="86.4" x14ac:dyDescent="0.3">
      <c r="A5" s="1" t="s">
        <v>35</v>
      </c>
      <c r="B5" s="1" t="s">
        <v>106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COUNTIF(G10:G17,"Pass")</f>
        <v>5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COUNTIF(G10:G17,"Fail")</f>
        <v>1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COUNTIF(G10:G17,"Blocked")</f>
        <v>0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8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28.8" x14ac:dyDescent="0.3">
      <c r="A12" s="4" t="s">
        <v>107</v>
      </c>
      <c r="B12" s="4">
        <v>1</v>
      </c>
      <c r="C12" s="4" t="s">
        <v>108</v>
      </c>
      <c r="D12" s="4" t="s">
        <v>109</v>
      </c>
      <c r="E12" s="4" t="s">
        <v>110</v>
      </c>
      <c r="F12" s="4" t="s">
        <v>52</v>
      </c>
      <c r="G12" s="7" t="s">
        <v>12</v>
      </c>
      <c r="H12" s="4" t="s">
        <v>111</v>
      </c>
      <c r="I12" s="4"/>
      <c r="J12" s="4"/>
    </row>
    <row r="13" spans="1:10" ht="28.8" x14ac:dyDescent="0.3">
      <c r="A13" s="4" t="s">
        <v>112</v>
      </c>
      <c r="B13" s="4">
        <v>2</v>
      </c>
      <c r="C13" s="4" t="s">
        <v>113</v>
      </c>
      <c r="D13" s="4" t="s">
        <v>114</v>
      </c>
      <c r="E13" s="4" t="s">
        <v>115</v>
      </c>
      <c r="F13" s="4" t="s">
        <v>52</v>
      </c>
      <c r="G13" s="7" t="s">
        <v>12</v>
      </c>
      <c r="H13" s="4" t="s">
        <v>116</v>
      </c>
      <c r="I13" s="4"/>
      <c r="J13" s="4"/>
    </row>
    <row r="14" spans="1:10" ht="43.2" x14ac:dyDescent="0.3">
      <c r="A14" s="4" t="s">
        <v>117</v>
      </c>
      <c r="B14" s="4">
        <v>3</v>
      </c>
      <c r="C14" s="4" t="s">
        <v>118</v>
      </c>
      <c r="D14" s="4" t="s">
        <v>119</v>
      </c>
      <c r="E14" s="4" t="s">
        <v>120</v>
      </c>
      <c r="F14" s="4" t="s">
        <v>52</v>
      </c>
      <c r="G14" s="7" t="s">
        <v>12</v>
      </c>
      <c r="H14" s="4" t="s">
        <v>121</v>
      </c>
      <c r="I14" s="4"/>
      <c r="J14" s="4"/>
    </row>
    <row r="15" spans="1:10" ht="28.8" x14ac:dyDescent="0.3">
      <c r="A15" s="4" t="s">
        <v>122</v>
      </c>
      <c r="B15" s="4">
        <v>4</v>
      </c>
      <c r="C15" s="4" t="s">
        <v>123</v>
      </c>
      <c r="D15" s="4" t="s">
        <v>124</v>
      </c>
      <c r="E15" s="4" t="s">
        <v>125</v>
      </c>
      <c r="F15" s="4" t="s">
        <v>52</v>
      </c>
      <c r="G15" s="7" t="s">
        <v>12</v>
      </c>
      <c r="H15" s="4" t="s">
        <v>126</v>
      </c>
      <c r="I15" s="4"/>
      <c r="J15" s="4"/>
    </row>
    <row r="16" spans="1:10" ht="28.8" x14ac:dyDescent="0.3">
      <c r="A16" s="4" t="s">
        <v>127</v>
      </c>
      <c r="B16" s="4">
        <v>5</v>
      </c>
      <c r="C16" s="4" t="s">
        <v>128</v>
      </c>
      <c r="D16" s="4" t="s">
        <v>129</v>
      </c>
      <c r="E16" s="4" t="s">
        <v>130</v>
      </c>
      <c r="F16" s="4" t="s">
        <v>52</v>
      </c>
      <c r="G16" s="7" t="s">
        <v>12</v>
      </c>
      <c r="H16" s="4" t="s">
        <v>131</v>
      </c>
      <c r="I16" s="4"/>
      <c r="J16" s="4"/>
    </row>
    <row r="17" spans="1:10" ht="28.8" x14ac:dyDescent="0.3">
      <c r="A17" s="4" t="s">
        <v>132</v>
      </c>
      <c r="B17" s="4">
        <v>6</v>
      </c>
      <c r="C17" s="4" t="s">
        <v>133</v>
      </c>
      <c r="D17" s="4" t="s">
        <v>134</v>
      </c>
      <c r="E17" s="4" t="s">
        <v>135</v>
      </c>
      <c r="F17" s="4" t="s">
        <v>52</v>
      </c>
      <c r="G17" s="8" t="s">
        <v>13</v>
      </c>
      <c r="H17" s="4" t="s">
        <v>136</v>
      </c>
      <c r="I17" s="4" t="s">
        <v>137</v>
      </c>
      <c r="J17" s="4" t="s">
        <v>138</v>
      </c>
    </row>
    <row r="18" spans="1:10" ht="28.8" x14ac:dyDescent="0.3">
      <c r="A18" s="4" t="s">
        <v>139</v>
      </c>
      <c r="B18" s="4">
        <v>7</v>
      </c>
      <c r="C18" s="4" t="s">
        <v>140</v>
      </c>
      <c r="D18" s="4" t="s">
        <v>141</v>
      </c>
      <c r="E18" s="4" t="s">
        <v>142</v>
      </c>
      <c r="F18" s="4" t="s">
        <v>52</v>
      </c>
      <c r="G18" s="7" t="s">
        <v>12</v>
      </c>
      <c r="H18" s="4" t="s">
        <v>143</v>
      </c>
      <c r="I18" s="4"/>
      <c r="J18" s="4"/>
    </row>
    <row r="19" spans="1:10" ht="28.8" x14ac:dyDescent="0.3">
      <c r="A19" s="4" t="s">
        <v>144</v>
      </c>
      <c r="B19" s="4">
        <v>8</v>
      </c>
      <c r="C19" s="4" t="s">
        <v>145</v>
      </c>
      <c r="D19" s="4" t="s">
        <v>146</v>
      </c>
      <c r="E19" s="4" t="s">
        <v>147</v>
      </c>
      <c r="F19" s="4" t="s">
        <v>52</v>
      </c>
      <c r="G19" s="8" t="s">
        <v>13</v>
      </c>
      <c r="H19" s="4" t="s">
        <v>148</v>
      </c>
      <c r="I19" s="4" t="s">
        <v>149</v>
      </c>
      <c r="J19" s="4" t="s">
        <v>150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pane ySplit="9" topLeftCell="A17" activePane="bottomLeft" state="frozen"/>
      <selection pane="bottomLeft" activeCell="G13" sqref="G12:G13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" t="s">
        <v>34</v>
      </c>
      <c r="B4" s="1" t="s">
        <v>23</v>
      </c>
      <c r="C4" s="1"/>
      <c r="D4" s="1"/>
      <c r="E4" s="1"/>
      <c r="F4" s="1"/>
      <c r="G4" s="1"/>
      <c r="H4" s="1"/>
      <c r="I4" s="1"/>
      <c r="J4" s="1"/>
    </row>
    <row r="5" spans="1:10" ht="72" x14ac:dyDescent="0.3">
      <c r="A5" s="1" t="s">
        <v>35</v>
      </c>
      <c r="B5" s="1" t="s">
        <v>151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COUNTIF(G10:G18,"Pass")</f>
        <v>4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COUNTIF(G10:G18,"Fail")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COUNTIF(G10:G18,"Blocked")</f>
        <v>3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9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43.2" x14ac:dyDescent="0.3">
      <c r="A12" s="4" t="s">
        <v>152</v>
      </c>
      <c r="B12" s="4">
        <v>1</v>
      </c>
      <c r="C12" s="4" t="s">
        <v>153</v>
      </c>
      <c r="D12" s="4" t="s">
        <v>154</v>
      </c>
      <c r="E12" s="4" t="s">
        <v>155</v>
      </c>
      <c r="F12" s="4" t="s">
        <v>52</v>
      </c>
      <c r="G12" s="7" t="s">
        <v>12</v>
      </c>
      <c r="H12" s="4" t="s">
        <v>156</v>
      </c>
      <c r="I12" s="4"/>
      <c r="J12" s="4"/>
    </row>
    <row r="13" spans="1:10" ht="28.8" x14ac:dyDescent="0.3">
      <c r="A13" s="4" t="s">
        <v>157</v>
      </c>
      <c r="B13" s="4">
        <v>2</v>
      </c>
      <c r="C13" s="4" t="s">
        <v>158</v>
      </c>
      <c r="D13" s="4" t="s">
        <v>159</v>
      </c>
      <c r="E13" s="4" t="s">
        <v>160</v>
      </c>
      <c r="F13" s="4" t="s">
        <v>52</v>
      </c>
      <c r="G13" s="7" t="s">
        <v>12</v>
      </c>
      <c r="H13" s="4" t="s">
        <v>161</v>
      </c>
      <c r="I13" s="4"/>
      <c r="J13" s="4"/>
    </row>
    <row r="14" spans="1:10" ht="28.8" x14ac:dyDescent="0.3">
      <c r="A14" s="4" t="s">
        <v>162</v>
      </c>
      <c r="B14" s="4">
        <v>3</v>
      </c>
      <c r="C14" s="4" t="s">
        <v>163</v>
      </c>
      <c r="D14" s="4" t="s">
        <v>164</v>
      </c>
      <c r="E14" s="4" t="s">
        <v>165</v>
      </c>
      <c r="F14" s="4" t="s">
        <v>52</v>
      </c>
      <c r="G14" s="7" t="s">
        <v>12</v>
      </c>
      <c r="H14" s="4" t="s">
        <v>166</v>
      </c>
      <c r="I14" s="4"/>
      <c r="J14" s="4"/>
    </row>
    <row r="15" spans="1:10" ht="43.2" x14ac:dyDescent="0.3">
      <c r="A15" s="4" t="s">
        <v>167</v>
      </c>
      <c r="B15" s="4">
        <v>4</v>
      </c>
      <c r="C15" s="4" t="s">
        <v>168</v>
      </c>
      <c r="D15" s="4" t="s">
        <v>169</v>
      </c>
      <c r="E15" s="4" t="s">
        <v>170</v>
      </c>
      <c r="F15" s="4" t="s">
        <v>52</v>
      </c>
      <c r="G15" s="6" t="s">
        <v>14</v>
      </c>
      <c r="H15" s="4" t="s">
        <v>171</v>
      </c>
      <c r="I15" s="4"/>
      <c r="J15" s="4"/>
    </row>
    <row r="16" spans="1:10" ht="28.8" x14ac:dyDescent="0.3">
      <c r="A16" s="4" t="s">
        <v>172</v>
      </c>
      <c r="B16" s="4">
        <v>5</v>
      </c>
      <c r="C16" s="4" t="s">
        <v>173</v>
      </c>
      <c r="D16" s="4" t="s">
        <v>174</v>
      </c>
      <c r="E16" s="4" t="s">
        <v>175</v>
      </c>
      <c r="F16" s="4" t="s">
        <v>52</v>
      </c>
      <c r="G16" s="6" t="s">
        <v>14</v>
      </c>
      <c r="H16" s="4" t="s">
        <v>176</v>
      </c>
      <c r="I16" s="4"/>
      <c r="J16" s="4"/>
    </row>
    <row r="17" spans="1:10" ht="28.8" x14ac:dyDescent="0.3">
      <c r="A17" s="4" t="s">
        <v>177</v>
      </c>
      <c r="B17" s="4">
        <v>6</v>
      </c>
      <c r="C17" s="4" t="s">
        <v>178</v>
      </c>
      <c r="D17" s="4" t="s">
        <v>179</v>
      </c>
      <c r="E17" s="4" t="s">
        <v>180</v>
      </c>
      <c r="F17" s="4" t="s">
        <v>52</v>
      </c>
      <c r="G17" s="6" t="s">
        <v>14</v>
      </c>
      <c r="H17" s="4" t="s">
        <v>181</v>
      </c>
      <c r="I17" s="4"/>
      <c r="J17" s="4"/>
    </row>
    <row r="18" spans="1:10" ht="28.8" x14ac:dyDescent="0.3">
      <c r="A18" s="4" t="s">
        <v>182</v>
      </c>
      <c r="B18" s="4">
        <v>7</v>
      </c>
      <c r="C18" s="4" t="s">
        <v>183</v>
      </c>
      <c r="D18" s="4" t="s">
        <v>184</v>
      </c>
      <c r="E18" s="4" t="s">
        <v>185</v>
      </c>
      <c r="F18" s="4" t="s">
        <v>52</v>
      </c>
      <c r="G18" s="7" t="s">
        <v>12</v>
      </c>
      <c r="H18" s="4" t="s">
        <v>186</v>
      </c>
      <c r="I18" s="4"/>
      <c r="J18" s="4"/>
    </row>
    <row r="19" spans="1:10" ht="43.2" x14ac:dyDescent="0.3">
      <c r="A19" s="4" t="s">
        <v>187</v>
      </c>
      <c r="B19" s="4">
        <v>8</v>
      </c>
      <c r="C19" s="4" t="s">
        <v>188</v>
      </c>
      <c r="D19" s="4" t="s">
        <v>189</v>
      </c>
      <c r="E19" s="4" t="s">
        <v>190</v>
      </c>
      <c r="F19" s="4" t="s">
        <v>52</v>
      </c>
      <c r="G19" s="6" t="s">
        <v>14</v>
      </c>
      <c r="H19" s="4" t="s">
        <v>191</v>
      </c>
      <c r="I19" s="4"/>
      <c r="J19" s="4"/>
    </row>
    <row r="20" spans="1:10" ht="43.2" x14ac:dyDescent="0.3">
      <c r="A20" s="4" t="s">
        <v>192</v>
      </c>
      <c r="B20" s="4">
        <v>9</v>
      </c>
      <c r="C20" s="4" t="s">
        <v>193</v>
      </c>
      <c r="D20" s="4" t="s">
        <v>194</v>
      </c>
      <c r="E20" s="4" t="s">
        <v>195</v>
      </c>
      <c r="F20" s="4" t="s">
        <v>52</v>
      </c>
      <c r="G20" s="6" t="s">
        <v>14</v>
      </c>
      <c r="H20" s="4" t="s">
        <v>191</v>
      </c>
      <c r="I20" s="4"/>
      <c r="J20" s="4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pane ySplit="9" topLeftCell="A27" activePane="bottomLeft" state="frozen"/>
      <selection pane="bottomLeft" sqref="A1:J1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43.2" x14ac:dyDescent="0.3">
      <c r="A4" s="1" t="s">
        <v>34</v>
      </c>
      <c r="B4" s="1" t="s">
        <v>24</v>
      </c>
      <c r="C4" s="1"/>
      <c r="D4" s="1"/>
      <c r="E4" s="1"/>
      <c r="F4" s="1"/>
      <c r="G4" s="1"/>
      <c r="H4" s="1"/>
      <c r="I4" s="1"/>
      <c r="J4" s="1"/>
    </row>
    <row r="5" spans="1:10" ht="100.8" x14ac:dyDescent="0.3">
      <c r="A5" s="1" t="s">
        <v>35</v>
      </c>
      <c r="B5" s="1" t="s">
        <v>196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COUNTIF(G10:G18,"Pass")</f>
        <v>2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COUNTIF(G10:G18,"Fail")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COUNTIF(G10:G18,"Blocked")</f>
        <v>5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9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43.2" x14ac:dyDescent="0.3">
      <c r="A12" s="4" t="s">
        <v>197</v>
      </c>
      <c r="B12" s="4">
        <v>1</v>
      </c>
      <c r="C12" s="4" t="s">
        <v>198</v>
      </c>
      <c r="D12" s="4" t="s">
        <v>199</v>
      </c>
      <c r="E12" s="4" t="s">
        <v>200</v>
      </c>
      <c r="F12" s="4" t="s">
        <v>52</v>
      </c>
      <c r="G12" s="6" t="s">
        <v>14</v>
      </c>
      <c r="H12" s="4" t="s">
        <v>201</v>
      </c>
      <c r="I12" s="4"/>
      <c r="J12" s="4"/>
    </row>
    <row r="13" spans="1:10" ht="28.8" x14ac:dyDescent="0.3">
      <c r="A13" s="4" t="s">
        <v>202</v>
      </c>
      <c r="B13" s="4">
        <v>2</v>
      </c>
      <c r="C13" s="4" t="s">
        <v>203</v>
      </c>
      <c r="D13" s="4" t="s">
        <v>204</v>
      </c>
      <c r="E13" s="4" t="s">
        <v>205</v>
      </c>
      <c r="F13" s="4" t="s">
        <v>52</v>
      </c>
      <c r="G13" s="7" t="s">
        <v>12</v>
      </c>
      <c r="H13" s="4" t="s">
        <v>206</v>
      </c>
      <c r="I13" s="4"/>
      <c r="J13" s="4"/>
    </row>
    <row r="14" spans="1:10" ht="28.8" x14ac:dyDescent="0.3">
      <c r="A14" s="4" t="s">
        <v>207</v>
      </c>
      <c r="B14" s="4">
        <v>3</v>
      </c>
      <c r="C14" s="4" t="s">
        <v>208</v>
      </c>
      <c r="D14" s="4" t="s">
        <v>209</v>
      </c>
      <c r="E14" s="4" t="s">
        <v>210</v>
      </c>
      <c r="F14" s="4" t="s">
        <v>52</v>
      </c>
      <c r="G14" s="7" t="s">
        <v>12</v>
      </c>
      <c r="H14" s="4" t="s">
        <v>211</v>
      </c>
      <c r="I14" s="4"/>
      <c r="J14" s="4"/>
    </row>
    <row r="15" spans="1:10" ht="28.8" x14ac:dyDescent="0.3">
      <c r="A15" s="4" t="s">
        <v>212</v>
      </c>
      <c r="B15" s="4">
        <v>4</v>
      </c>
      <c r="C15" s="4" t="s">
        <v>213</v>
      </c>
      <c r="D15" s="4" t="s">
        <v>214</v>
      </c>
      <c r="E15" s="4" t="s">
        <v>215</v>
      </c>
      <c r="F15" s="4" t="s">
        <v>52</v>
      </c>
      <c r="G15" s="6" t="s">
        <v>14</v>
      </c>
      <c r="H15" s="4" t="s">
        <v>171</v>
      </c>
      <c r="I15" s="4"/>
      <c r="J15" s="4"/>
    </row>
    <row r="16" spans="1:10" ht="28.8" x14ac:dyDescent="0.3">
      <c r="A16" s="4" t="s">
        <v>216</v>
      </c>
      <c r="B16" s="4">
        <v>5</v>
      </c>
      <c r="C16" s="4" t="s">
        <v>217</v>
      </c>
      <c r="D16" s="4" t="s">
        <v>218</v>
      </c>
      <c r="E16" s="4" t="s">
        <v>219</v>
      </c>
      <c r="F16" s="4" t="s">
        <v>52</v>
      </c>
      <c r="G16" s="6" t="s">
        <v>14</v>
      </c>
      <c r="H16" s="4" t="s">
        <v>201</v>
      </c>
      <c r="I16" s="4"/>
      <c r="J16" s="4"/>
    </row>
    <row r="17" spans="1:10" ht="28.8" x14ac:dyDescent="0.3">
      <c r="A17" s="4" t="s">
        <v>220</v>
      </c>
      <c r="B17" s="4">
        <v>6</v>
      </c>
      <c r="C17" s="4" t="s">
        <v>221</v>
      </c>
      <c r="D17" s="4" t="s">
        <v>222</v>
      </c>
      <c r="E17" s="4" t="s">
        <v>223</v>
      </c>
      <c r="F17" s="4" t="s">
        <v>52</v>
      </c>
      <c r="G17" s="6" t="s">
        <v>14</v>
      </c>
      <c r="H17" s="4" t="s">
        <v>224</v>
      </c>
      <c r="I17" s="4"/>
      <c r="J17" s="4"/>
    </row>
    <row r="18" spans="1:10" ht="28.8" x14ac:dyDescent="0.3">
      <c r="A18" s="4" t="s">
        <v>225</v>
      </c>
      <c r="B18" s="4">
        <v>7</v>
      </c>
      <c r="C18" s="4" t="s">
        <v>226</v>
      </c>
      <c r="D18" s="4" t="s">
        <v>227</v>
      </c>
      <c r="E18" s="4" t="s">
        <v>228</v>
      </c>
      <c r="F18" s="4" t="s">
        <v>52</v>
      </c>
      <c r="G18" s="6" t="s">
        <v>14</v>
      </c>
      <c r="H18" s="4" t="s">
        <v>201</v>
      </c>
      <c r="I18" s="4"/>
      <c r="J18" s="4"/>
    </row>
    <row r="19" spans="1:10" ht="43.2" x14ac:dyDescent="0.3">
      <c r="A19" s="4" t="s">
        <v>229</v>
      </c>
      <c r="B19" s="4">
        <v>8</v>
      </c>
      <c r="C19" s="4" t="s">
        <v>230</v>
      </c>
      <c r="D19" s="4" t="s">
        <v>231</v>
      </c>
      <c r="E19" s="4" t="s">
        <v>232</v>
      </c>
      <c r="F19" s="4" t="s">
        <v>52</v>
      </c>
      <c r="G19" s="6" t="s">
        <v>14</v>
      </c>
      <c r="H19" s="4" t="s">
        <v>201</v>
      </c>
      <c r="I19" s="4"/>
      <c r="J19" s="4"/>
    </row>
    <row r="20" spans="1:10" ht="28.8" x14ac:dyDescent="0.3">
      <c r="A20" s="4" t="s">
        <v>233</v>
      </c>
      <c r="B20" s="4">
        <v>9</v>
      </c>
      <c r="C20" s="4" t="s">
        <v>234</v>
      </c>
      <c r="D20" s="4" t="s">
        <v>235</v>
      </c>
      <c r="E20" s="4" t="s">
        <v>236</v>
      </c>
      <c r="F20" s="4" t="s">
        <v>52</v>
      </c>
      <c r="G20" s="6" t="s">
        <v>14</v>
      </c>
      <c r="H20" s="4" t="s">
        <v>201</v>
      </c>
      <c r="I20" s="4"/>
      <c r="J20" s="4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pane ySplit="9" topLeftCell="A10" activePane="bottomLeft" state="frozen"/>
      <selection pane="bottomLeft" sqref="A1:J1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" t="s">
        <v>34</v>
      </c>
      <c r="B4" s="1" t="s">
        <v>25</v>
      </c>
      <c r="C4" s="1"/>
      <c r="D4" s="1"/>
      <c r="E4" s="1"/>
      <c r="F4" s="1"/>
      <c r="G4" s="1"/>
      <c r="H4" s="1"/>
      <c r="I4" s="1"/>
      <c r="J4" s="1"/>
    </row>
    <row r="5" spans="1:10" ht="72" x14ac:dyDescent="0.3">
      <c r="A5" s="1" t="s">
        <v>35</v>
      </c>
      <c r="B5" s="1" t="s">
        <v>237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COUNTIF(G10:G21,"Pass")</f>
        <v>3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COUNTIF(G10:G21,"Fail")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COUNTIF(G10:G21,"Blocked")</f>
        <v>7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12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43.2" x14ac:dyDescent="0.3">
      <c r="A12" s="4" t="s">
        <v>238</v>
      </c>
      <c r="B12" s="4">
        <v>1</v>
      </c>
      <c r="C12" s="4" t="s">
        <v>239</v>
      </c>
      <c r="D12" s="4" t="s">
        <v>240</v>
      </c>
      <c r="E12" s="4" t="s">
        <v>241</v>
      </c>
      <c r="F12" s="4" t="s">
        <v>52</v>
      </c>
      <c r="G12" s="6" t="s">
        <v>14</v>
      </c>
      <c r="H12" s="4" t="s">
        <v>201</v>
      </c>
      <c r="I12" s="4"/>
      <c r="J12" s="4"/>
    </row>
    <row r="13" spans="1:10" ht="43.2" x14ac:dyDescent="0.3">
      <c r="A13" s="4" t="s">
        <v>242</v>
      </c>
      <c r="B13" s="4">
        <v>2</v>
      </c>
      <c r="C13" s="4" t="s">
        <v>243</v>
      </c>
      <c r="D13" s="4" t="s">
        <v>244</v>
      </c>
      <c r="E13" s="4" t="s">
        <v>245</v>
      </c>
      <c r="F13" s="4" t="s">
        <v>52</v>
      </c>
      <c r="G13" s="6" t="s">
        <v>14</v>
      </c>
      <c r="H13" s="4" t="s">
        <v>201</v>
      </c>
      <c r="I13" s="4"/>
      <c r="J13" s="4"/>
    </row>
    <row r="14" spans="1:10" ht="28.8" x14ac:dyDescent="0.3">
      <c r="A14" s="4" t="s">
        <v>246</v>
      </c>
      <c r="B14" s="4">
        <v>3</v>
      </c>
      <c r="C14" s="4" t="s">
        <v>247</v>
      </c>
      <c r="D14" s="4" t="s">
        <v>248</v>
      </c>
      <c r="E14" s="4" t="s">
        <v>249</v>
      </c>
      <c r="F14" s="4" t="s">
        <v>52</v>
      </c>
      <c r="G14" s="7" t="s">
        <v>12</v>
      </c>
      <c r="H14" s="4" t="s">
        <v>250</v>
      </c>
      <c r="I14" s="4"/>
      <c r="J14" s="4"/>
    </row>
    <row r="15" spans="1:10" ht="28.8" x14ac:dyDescent="0.3">
      <c r="A15" s="4" t="s">
        <v>251</v>
      </c>
      <c r="B15" s="4">
        <v>4</v>
      </c>
      <c r="C15" s="4" t="s">
        <v>252</v>
      </c>
      <c r="D15" s="4" t="s">
        <v>253</v>
      </c>
      <c r="E15" s="4" t="s">
        <v>254</v>
      </c>
      <c r="F15" s="4" t="s">
        <v>52</v>
      </c>
      <c r="G15" s="6" t="s">
        <v>14</v>
      </c>
      <c r="H15" s="4" t="s">
        <v>201</v>
      </c>
      <c r="I15" s="4"/>
      <c r="J15" s="4"/>
    </row>
    <row r="16" spans="1:10" ht="28.8" x14ac:dyDescent="0.3">
      <c r="A16" s="4" t="s">
        <v>255</v>
      </c>
      <c r="B16" s="4">
        <v>5</v>
      </c>
      <c r="C16" s="4" t="s">
        <v>256</v>
      </c>
      <c r="D16" s="4" t="s">
        <v>257</v>
      </c>
      <c r="E16" s="4" t="s">
        <v>258</v>
      </c>
      <c r="F16" s="4" t="s">
        <v>52</v>
      </c>
      <c r="G16" s="6" t="s">
        <v>14</v>
      </c>
      <c r="H16" s="4" t="s">
        <v>171</v>
      </c>
      <c r="I16" s="4"/>
      <c r="J16" s="4"/>
    </row>
    <row r="17" spans="1:10" ht="28.8" x14ac:dyDescent="0.3">
      <c r="A17" s="4" t="s">
        <v>259</v>
      </c>
      <c r="B17" s="4">
        <v>6</v>
      </c>
      <c r="C17" s="4" t="s">
        <v>260</v>
      </c>
      <c r="D17" s="4" t="s">
        <v>261</v>
      </c>
      <c r="E17" s="4" t="s">
        <v>262</v>
      </c>
      <c r="F17" s="4" t="s">
        <v>52</v>
      </c>
      <c r="G17" s="6" t="s">
        <v>14</v>
      </c>
      <c r="H17" s="4" t="s">
        <v>201</v>
      </c>
      <c r="I17" s="4"/>
      <c r="J17" s="4"/>
    </row>
    <row r="18" spans="1:10" ht="43.2" x14ac:dyDescent="0.3">
      <c r="A18" s="4" t="s">
        <v>263</v>
      </c>
      <c r="B18" s="4">
        <v>7</v>
      </c>
      <c r="C18" s="4" t="s">
        <v>264</v>
      </c>
      <c r="D18" s="4" t="s">
        <v>265</v>
      </c>
      <c r="E18" s="4" t="s">
        <v>266</v>
      </c>
      <c r="F18" s="4" t="s">
        <v>52</v>
      </c>
      <c r="G18" s="6" t="s">
        <v>14</v>
      </c>
      <c r="H18" s="4" t="s">
        <v>201</v>
      </c>
      <c r="I18" s="4"/>
      <c r="J18" s="4"/>
    </row>
    <row r="19" spans="1:10" ht="28.8" x14ac:dyDescent="0.3">
      <c r="A19" s="4" t="s">
        <v>267</v>
      </c>
      <c r="B19" s="4">
        <v>8</v>
      </c>
      <c r="C19" s="4" t="s">
        <v>268</v>
      </c>
      <c r="D19" s="4" t="s">
        <v>269</v>
      </c>
      <c r="E19" s="4" t="s">
        <v>270</v>
      </c>
      <c r="F19" s="4" t="s">
        <v>52</v>
      </c>
      <c r="G19" s="7" t="s">
        <v>12</v>
      </c>
      <c r="H19" s="4" t="s">
        <v>271</v>
      </c>
      <c r="I19" s="4"/>
      <c r="J19" s="4"/>
    </row>
    <row r="20" spans="1:10" ht="43.2" x14ac:dyDescent="0.3">
      <c r="A20" s="4" t="s">
        <v>272</v>
      </c>
      <c r="B20" s="4">
        <v>9</v>
      </c>
      <c r="C20" s="4" t="s">
        <v>273</v>
      </c>
      <c r="D20" s="4" t="s">
        <v>274</v>
      </c>
      <c r="E20" s="4" t="s">
        <v>275</v>
      </c>
      <c r="F20" s="4" t="s">
        <v>52</v>
      </c>
      <c r="G20" s="6" t="s">
        <v>14</v>
      </c>
      <c r="H20" s="4" t="s">
        <v>201</v>
      </c>
      <c r="I20" s="4"/>
      <c r="J20" s="4"/>
    </row>
    <row r="21" spans="1:10" ht="28.8" x14ac:dyDescent="0.3">
      <c r="A21" s="4" t="s">
        <v>276</v>
      </c>
      <c r="B21" s="4">
        <v>10</v>
      </c>
      <c r="C21" s="4" t="s">
        <v>277</v>
      </c>
      <c r="D21" s="4" t="s">
        <v>278</v>
      </c>
      <c r="E21" s="4" t="s">
        <v>279</v>
      </c>
      <c r="F21" s="4" t="s">
        <v>52</v>
      </c>
      <c r="G21" s="7" t="s">
        <v>12</v>
      </c>
      <c r="H21" s="4" t="s">
        <v>280</v>
      </c>
      <c r="I21" s="4"/>
      <c r="J21" s="4"/>
    </row>
    <row r="22" spans="1:10" ht="28.8" x14ac:dyDescent="0.3">
      <c r="A22" s="4" t="s">
        <v>281</v>
      </c>
      <c r="B22" s="4">
        <v>11</v>
      </c>
      <c r="C22" s="4" t="s">
        <v>282</v>
      </c>
      <c r="D22" s="4" t="s">
        <v>283</v>
      </c>
      <c r="E22" s="4" t="s">
        <v>284</v>
      </c>
      <c r="F22" s="4" t="s">
        <v>52</v>
      </c>
      <c r="G22" s="6" t="s">
        <v>14</v>
      </c>
      <c r="H22" s="4" t="s">
        <v>201</v>
      </c>
      <c r="I22" s="4"/>
      <c r="J22" s="4"/>
    </row>
    <row r="23" spans="1:10" ht="28.8" x14ac:dyDescent="0.3">
      <c r="A23" s="4" t="s">
        <v>285</v>
      </c>
      <c r="B23" s="4">
        <v>12</v>
      </c>
      <c r="C23" s="4" t="s">
        <v>286</v>
      </c>
      <c r="D23" s="4" t="s">
        <v>287</v>
      </c>
      <c r="E23" s="4" t="s">
        <v>288</v>
      </c>
      <c r="F23" s="4" t="s">
        <v>52</v>
      </c>
      <c r="G23" s="6" t="s">
        <v>14</v>
      </c>
      <c r="H23" s="4" t="s">
        <v>201</v>
      </c>
      <c r="I23" s="4"/>
      <c r="J23" s="4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>
      <pane ySplit="9" topLeftCell="A24" activePane="bottomLeft" state="frozen"/>
      <selection pane="bottomLeft" activeCell="A5" sqref="A5"/>
    </sheetView>
  </sheetViews>
  <sheetFormatPr defaultRowHeight="14.4" x14ac:dyDescent="0.3"/>
  <cols>
    <col min="1" max="1" width="18" customWidth="1"/>
    <col min="2" max="2" width="24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43.2" x14ac:dyDescent="0.3">
      <c r="A4" s="1" t="s">
        <v>34</v>
      </c>
      <c r="B4" s="1" t="s">
        <v>26</v>
      </c>
      <c r="C4" s="1"/>
      <c r="D4" s="1"/>
      <c r="E4" s="1"/>
      <c r="F4" s="1"/>
      <c r="G4" s="1"/>
      <c r="H4" s="1"/>
      <c r="I4" s="1"/>
      <c r="J4" s="1"/>
    </row>
    <row r="5" spans="1:10" ht="100.8" x14ac:dyDescent="0.3">
      <c r="A5" s="1" t="s">
        <v>35</v>
      </c>
      <c r="B5" s="1" t="s">
        <v>289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COUNTIF(G10:G23,"Pass")</f>
        <v>3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COUNTIF(G10:G23,"Fail")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COUNTIF(G10:G23,"Blocked")</f>
        <v>9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14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43.2" x14ac:dyDescent="0.3">
      <c r="A12" s="4" t="s">
        <v>290</v>
      </c>
      <c r="B12" s="4">
        <v>1</v>
      </c>
      <c r="C12" s="4" t="s">
        <v>291</v>
      </c>
      <c r="D12" s="4" t="s">
        <v>292</v>
      </c>
      <c r="E12" s="4" t="s">
        <v>293</v>
      </c>
      <c r="F12" s="4" t="s">
        <v>52</v>
      </c>
      <c r="G12" s="6" t="s">
        <v>14</v>
      </c>
      <c r="H12" s="4" t="s">
        <v>201</v>
      </c>
      <c r="I12" s="4"/>
      <c r="J12" s="4"/>
    </row>
    <row r="13" spans="1:10" ht="28.8" x14ac:dyDescent="0.3">
      <c r="A13" s="4" t="s">
        <v>294</v>
      </c>
      <c r="B13" s="4">
        <v>2</v>
      </c>
      <c r="C13" s="4" t="s">
        <v>295</v>
      </c>
      <c r="D13" s="4" t="s">
        <v>296</v>
      </c>
      <c r="E13" s="4" t="s">
        <v>297</v>
      </c>
      <c r="F13" s="4" t="s">
        <v>52</v>
      </c>
      <c r="G13" s="7" t="s">
        <v>12</v>
      </c>
      <c r="H13" s="4" t="s">
        <v>298</v>
      </c>
      <c r="I13" s="4"/>
      <c r="J13" s="4"/>
    </row>
    <row r="14" spans="1:10" ht="28.8" x14ac:dyDescent="0.3">
      <c r="A14" s="4" t="s">
        <v>299</v>
      </c>
      <c r="B14" s="4">
        <v>3</v>
      </c>
      <c r="C14" s="4" t="s">
        <v>300</v>
      </c>
      <c r="D14" s="4" t="s">
        <v>301</v>
      </c>
      <c r="E14" s="4" t="s">
        <v>302</v>
      </c>
      <c r="F14" s="4" t="s">
        <v>52</v>
      </c>
      <c r="G14" s="6" t="s">
        <v>14</v>
      </c>
      <c r="H14" s="4" t="s">
        <v>303</v>
      </c>
      <c r="I14" s="4"/>
      <c r="J14" s="4"/>
    </row>
    <row r="15" spans="1:10" ht="28.8" x14ac:dyDescent="0.3">
      <c r="A15" s="4" t="s">
        <v>304</v>
      </c>
      <c r="B15" s="4">
        <v>4</v>
      </c>
      <c r="C15" s="4" t="s">
        <v>305</v>
      </c>
      <c r="D15" s="4" t="s">
        <v>306</v>
      </c>
      <c r="E15" s="4" t="s">
        <v>307</v>
      </c>
      <c r="F15" s="4" t="s">
        <v>52</v>
      </c>
      <c r="G15" s="7" t="s">
        <v>12</v>
      </c>
      <c r="H15" s="4" t="s">
        <v>308</v>
      </c>
      <c r="I15" s="4"/>
      <c r="J15" s="4"/>
    </row>
    <row r="16" spans="1:10" ht="43.2" x14ac:dyDescent="0.3">
      <c r="A16" s="4" t="s">
        <v>309</v>
      </c>
      <c r="B16" s="4">
        <v>5</v>
      </c>
      <c r="C16" s="4" t="s">
        <v>310</v>
      </c>
      <c r="D16" s="4" t="s">
        <v>311</v>
      </c>
      <c r="E16" s="4" t="s">
        <v>312</v>
      </c>
      <c r="F16" s="4" t="s">
        <v>52</v>
      </c>
      <c r="G16" s="6" t="s">
        <v>14</v>
      </c>
      <c r="H16" s="4" t="s">
        <v>201</v>
      </c>
      <c r="I16" s="4"/>
      <c r="J16" s="4"/>
    </row>
    <row r="17" spans="1:10" x14ac:dyDescent="0.3">
      <c r="A17" s="4" t="s">
        <v>313</v>
      </c>
      <c r="B17" s="4">
        <v>6</v>
      </c>
      <c r="C17" s="4" t="s">
        <v>314</v>
      </c>
      <c r="D17" s="4" t="s">
        <v>315</v>
      </c>
      <c r="E17" s="4" t="s">
        <v>316</v>
      </c>
      <c r="F17" s="4" t="s">
        <v>52</v>
      </c>
      <c r="G17" s="7" t="s">
        <v>12</v>
      </c>
      <c r="H17" s="4" t="s">
        <v>317</v>
      </c>
      <c r="I17" s="4"/>
      <c r="J17" s="4"/>
    </row>
    <row r="18" spans="1:10" ht="28.8" x14ac:dyDescent="0.3">
      <c r="A18" s="4" t="s">
        <v>318</v>
      </c>
      <c r="B18" s="4">
        <v>7</v>
      </c>
      <c r="C18" s="4" t="s">
        <v>319</v>
      </c>
      <c r="D18" s="4" t="s">
        <v>320</v>
      </c>
      <c r="E18" s="4" t="s">
        <v>321</v>
      </c>
      <c r="F18" s="4" t="s">
        <v>52</v>
      </c>
      <c r="G18" s="6" t="s">
        <v>14</v>
      </c>
      <c r="H18" s="4" t="s">
        <v>201</v>
      </c>
      <c r="I18" s="4"/>
      <c r="J18" s="4"/>
    </row>
    <row r="19" spans="1:10" ht="28.8" x14ac:dyDescent="0.3">
      <c r="A19" s="4" t="s">
        <v>322</v>
      </c>
      <c r="B19" s="4">
        <v>8</v>
      </c>
      <c r="C19" s="4" t="s">
        <v>323</v>
      </c>
      <c r="D19" s="4" t="s">
        <v>324</v>
      </c>
      <c r="E19" s="4" t="s">
        <v>325</v>
      </c>
      <c r="F19" s="4" t="s">
        <v>52</v>
      </c>
      <c r="G19" s="6" t="s">
        <v>14</v>
      </c>
      <c r="H19" s="4" t="s">
        <v>201</v>
      </c>
      <c r="I19" s="4"/>
      <c r="J19" s="4"/>
    </row>
    <row r="20" spans="1:10" ht="28.8" x14ac:dyDescent="0.3">
      <c r="A20" s="4" t="s">
        <v>326</v>
      </c>
      <c r="B20" s="4">
        <v>9</v>
      </c>
      <c r="C20" s="4" t="s">
        <v>327</v>
      </c>
      <c r="D20" s="4" t="s">
        <v>328</v>
      </c>
      <c r="E20" s="4" t="s">
        <v>329</v>
      </c>
      <c r="F20" s="4" t="s">
        <v>52</v>
      </c>
      <c r="G20" s="6" t="s">
        <v>14</v>
      </c>
      <c r="H20" s="4" t="s">
        <v>201</v>
      </c>
      <c r="I20" s="4"/>
      <c r="J20" s="4"/>
    </row>
    <row r="21" spans="1:10" ht="43.2" x14ac:dyDescent="0.3">
      <c r="A21" s="4" t="s">
        <v>330</v>
      </c>
      <c r="B21" s="4">
        <v>10</v>
      </c>
      <c r="C21" s="4" t="s">
        <v>331</v>
      </c>
      <c r="D21" s="4" t="s">
        <v>332</v>
      </c>
      <c r="E21" s="4" t="s">
        <v>333</v>
      </c>
      <c r="F21" s="4" t="s">
        <v>52</v>
      </c>
      <c r="G21" s="6" t="s">
        <v>14</v>
      </c>
      <c r="H21" s="4" t="s">
        <v>201</v>
      </c>
      <c r="I21" s="4"/>
      <c r="J21" s="4"/>
    </row>
    <row r="22" spans="1:10" ht="28.8" x14ac:dyDescent="0.3">
      <c r="A22" s="4" t="s">
        <v>334</v>
      </c>
      <c r="B22" s="4">
        <v>11</v>
      </c>
      <c r="C22" s="4" t="s">
        <v>335</v>
      </c>
      <c r="D22" s="4" t="s">
        <v>336</v>
      </c>
      <c r="E22" s="4" t="s">
        <v>337</v>
      </c>
      <c r="F22" s="4" t="s">
        <v>52</v>
      </c>
      <c r="G22" s="6" t="s">
        <v>14</v>
      </c>
      <c r="H22" s="4" t="s">
        <v>201</v>
      </c>
      <c r="I22" s="4"/>
      <c r="J22" s="4"/>
    </row>
    <row r="23" spans="1:10" x14ac:dyDescent="0.3">
      <c r="A23" s="4" t="s">
        <v>338</v>
      </c>
      <c r="B23" s="4">
        <v>12</v>
      </c>
      <c r="C23" s="4" t="s">
        <v>339</v>
      </c>
      <c r="D23" s="4" t="s">
        <v>340</v>
      </c>
      <c r="E23" s="4" t="s">
        <v>341</v>
      </c>
      <c r="F23" s="4" t="s">
        <v>52</v>
      </c>
      <c r="G23" s="6" t="s">
        <v>14</v>
      </c>
      <c r="H23" s="4" t="s">
        <v>342</v>
      </c>
      <c r="I23" s="4"/>
      <c r="J23" s="4"/>
    </row>
    <row r="24" spans="1:10" ht="28.8" x14ac:dyDescent="0.3">
      <c r="A24" s="4" t="s">
        <v>343</v>
      </c>
      <c r="B24" s="4">
        <v>13</v>
      </c>
      <c r="C24" s="4" t="s">
        <v>344</v>
      </c>
      <c r="D24" s="4" t="s">
        <v>345</v>
      </c>
      <c r="E24" s="4" t="s">
        <v>346</v>
      </c>
      <c r="F24" s="4" t="s">
        <v>52</v>
      </c>
      <c r="G24" s="6" t="s">
        <v>14</v>
      </c>
      <c r="H24" s="4" t="s">
        <v>201</v>
      </c>
      <c r="I24" s="4"/>
      <c r="J24" s="4"/>
    </row>
    <row r="25" spans="1:10" ht="28.8" x14ac:dyDescent="0.3">
      <c r="A25" s="4" t="s">
        <v>347</v>
      </c>
      <c r="B25" s="4">
        <v>14</v>
      </c>
      <c r="C25" s="4" t="s">
        <v>348</v>
      </c>
      <c r="D25" s="4" t="s">
        <v>349</v>
      </c>
      <c r="E25" s="4" t="s">
        <v>350</v>
      </c>
      <c r="F25" s="4" t="s">
        <v>52</v>
      </c>
      <c r="G25" s="6" t="s">
        <v>14</v>
      </c>
      <c r="H25" s="4" t="s">
        <v>201</v>
      </c>
      <c r="I25" s="4"/>
      <c r="J25" s="4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43.2" x14ac:dyDescent="0.3">
      <c r="A4" s="1" t="s">
        <v>34</v>
      </c>
      <c r="B4" s="1" t="s">
        <v>27</v>
      </c>
      <c r="C4" s="1"/>
      <c r="D4" s="1"/>
      <c r="E4" s="1"/>
      <c r="F4" s="1"/>
      <c r="G4" s="1"/>
      <c r="H4" s="1"/>
      <c r="I4" s="1"/>
      <c r="J4" s="1"/>
    </row>
    <row r="5" spans="1:10" ht="100.8" x14ac:dyDescent="0.3">
      <c r="A5" s="1" t="s">
        <v>35</v>
      </c>
      <c r="B5" s="1" t="s">
        <v>351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COUNTIF(G10:G23,"Pass")</f>
        <v>3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COUNTIF(G10:G23,"Fail")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COUNTIF(G10:G23,"Blocked")</f>
        <v>9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14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43.2" x14ac:dyDescent="0.3">
      <c r="A12" s="4" t="s">
        <v>352</v>
      </c>
      <c r="B12" s="4">
        <v>1</v>
      </c>
      <c r="C12" s="4" t="s">
        <v>353</v>
      </c>
      <c r="D12" s="4" t="s">
        <v>354</v>
      </c>
      <c r="E12" s="4" t="s">
        <v>355</v>
      </c>
      <c r="F12" s="4" t="s">
        <v>52</v>
      </c>
      <c r="G12" s="6" t="s">
        <v>14</v>
      </c>
      <c r="H12" s="4" t="s">
        <v>201</v>
      </c>
      <c r="I12" s="4"/>
      <c r="J12" s="4"/>
    </row>
    <row r="13" spans="1:10" ht="28.8" x14ac:dyDescent="0.3">
      <c r="A13" s="4" t="s">
        <v>356</v>
      </c>
      <c r="B13" s="4">
        <v>2</v>
      </c>
      <c r="C13" s="4" t="s">
        <v>357</v>
      </c>
      <c r="D13" s="4" t="s">
        <v>358</v>
      </c>
      <c r="E13" s="4" t="s">
        <v>359</v>
      </c>
      <c r="F13" s="4" t="s">
        <v>52</v>
      </c>
      <c r="G13" s="7" t="s">
        <v>12</v>
      </c>
      <c r="H13" s="4" t="s">
        <v>360</v>
      </c>
      <c r="I13" s="4"/>
      <c r="J13" s="4"/>
    </row>
    <row r="14" spans="1:10" ht="28.8" x14ac:dyDescent="0.3">
      <c r="A14" s="4" t="s">
        <v>361</v>
      </c>
      <c r="B14" s="4">
        <v>3</v>
      </c>
      <c r="C14" s="4" t="s">
        <v>362</v>
      </c>
      <c r="D14" s="4" t="s">
        <v>363</v>
      </c>
      <c r="E14" s="4" t="s">
        <v>364</v>
      </c>
      <c r="F14" s="4" t="s">
        <v>52</v>
      </c>
      <c r="G14" s="6" t="s">
        <v>14</v>
      </c>
      <c r="H14" s="4" t="s">
        <v>201</v>
      </c>
      <c r="I14" s="4"/>
      <c r="J14" s="4"/>
    </row>
    <row r="15" spans="1:10" ht="28.8" x14ac:dyDescent="0.3">
      <c r="A15" s="4" t="s">
        <v>365</v>
      </c>
      <c r="B15" s="4">
        <v>4</v>
      </c>
      <c r="C15" s="4" t="s">
        <v>366</v>
      </c>
      <c r="D15" s="4" t="s">
        <v>367</v>
      </c>
      <c r="E15" s="4" t="s">
        <v>368</v>
      </c>
      <c r="F15" s="4" t="s">
        <v>52</v>
      </c>
      <c r="G15" s="6" t="s">
        <v>14</v>
      </c>
      <c r="H15" s="4" t="s">
        <v>201</v>
      </c>
      <c r="I15" s="4"/>
      <c r="J15" s="4"/>
    </row>
    <row r="16" spans="1:10" ht="28.8" x14ac:dyDescent="0.3">
      <c r="A16" s="4" t="s">
        <v>369</v>
      </c>
      <c r="B16" s="4">
        <v>5</v>
      </c>
      <c r="C16" s="4" t="s">
        <v>370</v>
      </c>
      <c r="D16" s="4" t="s">
        <v>371</v>
      </c>
      <c r="E16" s="4" t="s">
        <v>372</v>
      </c>
      <c r="F16" s="4" t="s">
        <v>52</v>
      </c>
      <c r="G16" s="6" t="s">
        <v>14</v>
      </c>
      <c r="H16" s="4" t="s">
        <v>201</v>
      </c>
      <c r="I16" s="4"/>
      <c r="J16" s="4"/>
    </row>
    <row r="17" spans="1:10" ht="28.8" x14ac:dyDescent="0.3">
      <c r="A17" s="4" t="s">
        <v>373</v>
      </c>
      <c r="B17" s="4">
        <v>6</v>
      </c>
      <c r="C17" s="4" t="s">
        <v>374</v>
      </c>
      <c r="D17" s="4" t="s">
        <v>375</v>
      </c>
      <c r="E17" s="4" t="s">
        <v>376</v>
      </c>
      <c r="F17" s="4" t="s">
        <v>52</v>
      </c>
      <c r="G17" s="6" t="s">
        <v>14</v>
      </c>
      <c r="H17" s="4" t="s">
        <v>201</v>
      </c>
      <c r="I17" s="4"/>
      <c r="J17" s="4"/>
    </row>
    <row r="18" spans="1:10" ht="28.8" x14ac:dyDescent="0.3">
      <c r="A18" s="4" t="s">
        <v>377</v>
      </c>
      <c r="B18" s="4">
        <v>7</v>
      </c>
      <c r="C18" s="4" t="s">
        <v>378</v>
      </c>
      <c r="D18" s="4" t="s">
        <v>379</v>
      </c>
      <c r="E18" s="4" t="s">
        <v>380</v>
      </c>
      <c r="F18" s="4" t="s">
        <v>52</v>
      </c>
      <c r="G18" s="7" t="s">
        <v>12</v>
      </c>
      <c r="H18" s="4" t="s">
        <v>381</v>
      </c>
      <c r="I18" s="4"/>
      <c r="J18" s="4"/>
    </row>
    <row r="19" spans="1:10" ht="28.8" x14ac:dyDescent="0.3">
      <c r="A19" s="4" t="s">
        <v>382</v>
      </c>
      <c r="B19" s="4">
        <v>8</v>
      </c>
      <c r="C19" s="4" t="s">
        <v>383</v>
      </c>
      <c r="D19" s="4" t="s">
        <v>384</v>
      </c>
      <c r="E19" s="4" t="s">
        <v>385</v>
      </c>
      <c r="F19" s="4" t="s">
        <v>52</v>
      </c>
      <c r="G19" s="6" t="s">
        <v>14</v>
      </c>
      <c r="H19" s="4" t="s">
        <v>201</v>
      </c>
      <c r="I19" s="4"/>
      <c r="J19" s="4"/>
    </row>
    <row r="20" spans="1:10" ht="28.8" x14ac:dyDescent="0.3">
      <c r="A20" s="4" t="s">
        <v>386</v>
      </c>
      <c r="B20" s="4">
        <v>9</v>
      </c>
      <c r="C20" s="4" t="s">
        <v>387</v>
      </c>
      <c r="D20" s="4" t="s">
        <v>388</v>
      </c>
      <c r="E20" s="4" t="s">
        <v>389</v>
      </c>
      <c r="F20" s="4" t="s">
        <v>52</v>
      </c>
      <c r="G20" s="6" t="s">
        <v>14</v>
      </c>
      <c r="H20" s="4" t="s">
        <v>201</v>
      </c>
      <c r="I20" s="4"/>
      <c r="J20" s="4"/>
    </row>
    <row r="21" spans="1:10" ht="43.2" x14ac:dyDescent="0.3">
      <c r="A21" s="4" t="s">
        <v>390</v>
      </c>
      <c r="B21" s="4">
        <v>10</v>
      </c>
      <c r="C21" s="4" t="s">
        <v>391</v>
      </c>
      <c r="D21" s="4" t="s">
        <v>392</v>
      </c>
      <c r="E21" s="4" t="s">
        <v>393</v>
      </c>
      <c r="F21" s="4" t="s">
        <v>52</v>
      </c>
      <c r="G21" s="6" t="s">
        <v>14</v>
      </c>
      <c r="H21" s="4" t="s">
        <v>201</v>
      </c>
      <c r="I21" s="4"/>
      <c r="J21" s="4"/>
    </row>
    <row r="22" spans="1:10" ht="28.8" x14ac:dyDescent="0.3">
      <c r="A22" s="4" t="s">
        <v>394</v>
      </c>
      <c r="B22" s="4">
        <v>11</v>
      </c>
      <c r="C22" s="4" t="s">
        <v>395</v>
      </c>
      <c r="D22" s="4" t="s">
        <v>396</v>
      </c>
      <c r="E22" s="4" t="s">
        <v>397</v>
      </c>
      <c r="F22" s="4" t="s">
        <v>52</v>
      </c>
      <c r="G22" s="7" t="s">
        <v>12</v>
      </c>
      <c r="H22" s="4" t="s">
        <v>398</v>
      </c>
      <c r="I22" s="4"/>
      <c r="J22" s="4"/>
    </row>
    <row r="23" spans="1:10" ht="28.8" x14ac:dyDescent="0.3">
      <c r="A23" s="4" t="s">
        <v>399</v>
      </c>
      <c r="B23" s="4">
        <v>12</v>
      </c>
      <c r="C23" s="4" t="s">
        <v>400</v>
      </c>
      <c r="D23" s="4" t="s">
        <v>401</v>
      </c>
      <c r="E23" s="4" t="s">
        <v>402</v>
      </c>
      <c r="F23" s="4" t="s">
        <v>52</v>
      </c>
      <c r="G23" s="6" t="s">
        <v>14</v>
      </c>
      <c r="H23" s="4" t="s">
        <v>201</v>
      </c>
      <c r="I23" s="4"/>
      <c r="J23" s="4"/>
    </row>
    <row r="24" spans="1:10" ht="28.8" x14ac:dyDescent="0.3">
      <c r="A24" s="4" t="s">
        <v>403</v>
      </c>
      <c r="B24" s="4">
        <v>13</v>
      </c>
      <c r="C24" s="4" t="s">
        <v>404</v>
      </c>
      <c r="D24" s="4" t="s">
        <v>405</v>
      </c>
      <c r="E24" s="4" t="s">
        <v>406</v>
      </c>
      <c r="F24" s="4" t="s">
        <v>52</v>
      </c>
      <c r="G24" s="8" t="s">
        <v>13</v>
      </c>
      <c r="H24" s="4" t="s">
        <v>407</v>
      </c>
      <c r="I24" s="4" t="s">
        <v>104</v>
      </c>
      <c r="J24" s="4" t="s">
        <v>408</v>
      </c>
    </row>
    <row r="25" spans="1:10" ht="28.8" x14ac:dyDescent="0.3">
      <c r="A25" s="4" t="s">
        <v>409</v>
      </c>
      <c r="B25" s="4">
        <v>14</v>
      </c>
      <c r="C25" s="4" t="s">
        <v>410</v>
      </c>
      <c r="D25" s="4" t="s">
        <v>411</v>
      </c>
      <c r="E25" s="4" t="s">
        <v>412</v>
      </c>
      <c r="F25" s="4" t="s">
        <v>52</v>
      </c>
      <c r="G25" s="8" t="s">
        <v>13</v>
      </c>
      <c r="H25" s="4" t="s">
        <v>413</v>
      </c>
      <c r="I25" s="4" t="s">
        <v>104</v>
      </c>
      <c r="J25" s="4" t="s">
        <v>408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43.2" x14ac:dyDescent="0.3">
      <c r="A4" s="1" t="s">
        <v>34</v>
      </c>
      <c r="B4" s="1" t="s">
        <v>28</v>
      </c>
      <c r="C4" s="1"/>
      <c r="D4" s="1"/>
      <c r="E4" s="1"/>
      <c r="F4" s="1"/>
      <c r="G4" s="1"/>
      <c r="H4" s="1"/>
      <c r="I4" s="1"/>
      <c r="J4" s="1"/>
    </row>
    <row r="5" spans="1:10" ht="100.8" x14ac:dyDescent="0.3">
      <c r="A5" s="1" t="s">
        <v>35</v>
      </c>
      <c r="B5" s="1" t="s">
        <v>414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COUNTIF(G10:G18,"Pass")</f>
        <v>2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COUNTIF(G10:G18,"Fail")</f>
        <v>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COUNTIF(G10:G18,"Blocked")</f>
        <v>5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9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28.8" x14ac:dyDescent="0.3">
      <c r="A12" s="4" t="s">
        <v>415</v>
      </c>
      <c r="B12" s="4">
        <v>1</v>
      </c>
      <c r="C12" s="4" t="s">
        <v>416</v>
      </c>
      <c r="D12" s="4" t="s">
        <v>417</v>
      </c>
      <c r="E12" s="4" t="s">
        <v>418</v>
      </c>
      <c r="F12" s="4" t="s">
        <v>52</v>
      </c>
      <c r="G12" s="6" t="s">
        <v>14</v>
      </c>
      <c r="H12" s="4" t="s">
        <v>201</v>
      </c>
      <c r="I12" s="4"/>
      <c r="J12" s="4"/>
    </row>
    <row r="13" spans="1:10" ht="43.2" x14ac:dyDescent="0.3">
      <c r="A13" s="4" t="s">
        <v>419</v>
      </c>
      <c r="B13" s="4">
        <v>2</v>
      </c>
      <c r="C13" s="4" t="s">
        <v>420</v>
      </c>
      <c r="D13" s="4" t="s">
        <v>421</v>
      </c>
      <c r="E13" s="4" t="s">
        <v>422</v>
      </c>
      <c r="F13" s="4" t="s">
        <v>52</v>
      </c>
      <c r="G13" s="6" t="s">
        <v>14</v>
      </c>
      <c r="H13" s="4" t="s">
        <v>201</v>
      </c>
      <c r="I13" s="4"/>
      <c r="J13" s="4"/>
    </row>
    <row r="14" spans="1:10" ht="43.2" x14ac:dyDescent="0.3">
      <c r="A14" s="4" t="s">
        <v>423</v>
      </c>
      <c r="B14" s="4">
        <v>3</v>
      </c>
      <c r="C14" s="4" t="s">
        <v>424</v>
      </c>
      <c r="D14" s="4" t="s">
        <v>425</v>
      </c>
      <c r="E14" s="4" t="s">
        <v>426</v>
      </c>
      <c r="F14" s="4" t="s">
        <v>52</v>
      </c>
      <c r="G14" s="7" t="s">
        <v>12</v>
      </c>
      <c r="H14" s="4" t="s">
        <v>427</v>
      </c>
      <c r="I14" s="4"/>
      <c r="J14" s="4"/>
    </row>
    <row r="15" spans="1:10" ht="28.8" x14ac:dyDescent="0.3">
      <c r="A15" s="4" t="s">
        <v>428</v>
      </c>
      <c r="B15" s="4">
        <v>4</v>
      </c>
      <c r="C15" s="4" t="s">
        <v>429</v>
      </c>
      <c r="D15" s="4" t="s">
        <v>430</v>
      </c>
      <c r="E15" s="4" t="s">
        <v>431</v>
      </c>
      <c r="F15" s="4" t="s">
        <v>52</v>
      </c>
      <c r="G15" s="6" t="s">
        <v>14</v>
      </c>
      <c r="H15" s="4" t="s">
        <v>201</v>
      </c>
      <c r="I15" s="4"/>
      <c r="J15" s="4"/>
    </row>
    <row r="16" spans="1:10" ht="43.2" x14ac:dyDescent="0.3">
      <c r="A16" s="4" t="s">
        <v>432</v>
      </c>
      <c r="B16" s="4">
        <v>5</v>
      </c>
      <c r="C16" s="4" t="s">
        <v>433</v>
      </c>
      <c r="D16" s="4" t="s">
        <v>434</v>
      </c>
      <c r="E16" s="4" t="s">
        <v>435</v>
      </c>
      <c r="F16" s="4" t="s">
        <v>52</v>
      </c>
      <c r="G16" s="6" t="s">
        <v>14</v>
      </c>
      <c r="H16" s="4" t="s">
        <v>201</v>
      </c>
      <c r="I16" s="4"/>
      <c r="J16" s="4"/>
    </row>
    <row r="17" spans="1:10" ht="28.8" x14ac:dyDescent="0.3">
      <c r="A17" s="4" t="s">
        <v>436</v>
      </c>
      <c r="B17" s="4">
        <v>6</v>
      </c>
      <c r="C17" s="4" t="s">
        <v>437</v>
      </c>
      <c r="D17" s="4" t="s">
        <v>438</v>
      </c>
      <c r="E17" s="4" t="s">
        <v>439</v>
      </c>
      <c r="F17" s="4" t="s">
        <v>52</v>
      </c>
      <c r="G17" s="7" t="s">
        <v>12</v>
      </c>
      <c r="H17" s="4" t="s">
        <v>440</v>
      </c>
      <c r="I17" s="4"/>
      <c r="J17" s="4"/>
    </row>
    <row r="18" spans="1:10" ht="28.8" x14ac:dyDescent="0.3">
      <c r="A18" s="4" t="s">
        <v>441</v>
      </c>
      <c r="B18" s="4">
        <v>7</v>
      </c>
      <c r="C18" s="4" t="s">
        <v>442</v>
      </c>
      <c r="D18" s="4" t="s">
        <v>443</v>
      </c>
      <c r="E18" s="4" t="s">
        <v>444</v>
      </c>
      <c r="F18" s="4" t="s">
        <v>52</v>
      </c>
      <c r="G18" s="6" t="s">
        <v>14</v>
      </c>
      <c r="H18" s="4" t="s">
        <v>201</v>
      </c>
      <c r="I18" s="4"/>
      <c r="J18" s="4"/>
    </row>
    <row r="19" spans="1:10" ht="28.8" x14ac:dyDescent="0.3">
      <c r="A19" s="4" t="s">
        <v>445</v>
      </c>
      <c r="B19" s="4">
        <v>8</v>
      </c>
      <c r="C19" s="4" t="s">
        <v>446</v>
      </c>
      <c r="D19" s="4" t="s">
        <v>447</v>
      </c>
      <c r="E19" s="4" t="s">
        <v>448</v>
      </c>
      <c r="F19" s="4" t="s">
        <v>52</v>
      </c>
      <c r="G19" s="6" t="s">
        <v>14</v>
      </c>
      <c r="H19" s="4" t="s">
        <v>201</v>
      </c>
      <c r="I19" s="4"/>
      <c r="J19" s="4"/>
    </row>
    <row r="20" spans="1:10" ht="28.8" x14ac:dyDescent="0.3">
      <c r="A20" s="4" t="s">
        <v>449</v>
      </c>
      <c r="B20" s="4">
        <v>9</v>
      </c>
      <c r="C20" s="4" t="s">
        <v>450</v>
      </c>
      <c r="D20" s="4" t="s">
        <v>451</v>
      </c>
      <c r="E20" s="4" t="s">
        <v>452</v>
      </c>
      <c r="F20" s="4" t="s">
        <v>52</v>
      </c>
      <c r="G20" s="6" t="s">
        <v>14</v>
      </c>
      <c r="H20" s="4" t="s">
        <v>201</v>
      </c>
      <c r="I20" s="4"/>
      <c r="J20" s="4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workbookViewId="0">
      <pane ySplit="9" topLeftCell="A10" activePane="bottomLeft" state="frozen"/>
      <selection pane="bottomLeft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43.2" x14ac:dyDescent="0.3">
      <c r="A4" s="1" t="s">
        <v>34</v>
      </c>
      <c r="B4" s="1" t="s">
        <v>29</v>
      </c>
      <c r="C4" s="1"/>
      <c r="D4" s="1"/>
      <c r="E4" s="1"/>
      <c r="F4" s="1"/>
      <c r="G4" s="1"/>
      <c r="H4" s="1"/>
      <c r="I4" s="1"/>
      <c r="J4" s="1"/>
    </row>
    <row r="5" spans="1:10" ht="100.8" x14ac:dyDescent="0.3">
      <c r="A5" s="1" t="s">
        <v>35</v>
      </c>
      <c r="B5" s="1" t="s">
        <v>453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COUNTIF(G10:G20,"Pass")</f>
        <v>2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COUNTIF(G10:G20,"Fail")</f>
        <v>1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COUNTIF(G10:G20,"Blocked")</f>
        <v>6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11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28.8" x14ac:dyDescent="0.3">
      <c r="A12" s="4" t="s">
        <v>454</v>
      </c>
      <c r="B12" s="4">
        <v>1</v>
      </c>
      <c r="C12" s="4" t="s">
        <v>455</v>
      </c>
      <c r="D12" s="4" t="s">
        <v>456</v>
      </c>
      <c r="E12" s="4" t="s">
        <v>457</v>
      </c>
      <c r="F12" s="4" t="s">
        <v>52</v>
      </c>
      <c r="G12" s="6" t="s">
        <v>14</v>
      </c>
      <c r="H12" s="4" t="s">
        <v>201</v>
      </c>
      <c r="I12" s="4"/>
      <c r="J12" s="4"/>
    </row>
    <row r="13" spans="1:10" ht="43.2" x14ac:dyDescent="0.3">
      <c r="A13" s="4" t="s">
        <v>458</v>
      </c>
      <c r="B13" s="4">
        <v>2</v>
      </c>
      <c r="C13" s="4" t="s">
        <v>459</v>
      </c>
      <c r="D13" s="4" t="s">
        <v>460</v>
      </c>
      <c r="E13" s="4" t="s">
        <v>461</v>
      </c>
      <c r="F13" s="4" t="s">
        <v>52</v>
      </c>
      <c r="G13" s="7" t="s">
        <v>12</v>
      </c>
      <c r="H13" s="4" t="s">
        <v>462</v>
      </c>
      <c r="I13" s="4"/>
      <c r="J13" s="4"/>
    </row>
    <row r="14" spans="1:10" ht="28.8" x14ac:dyDescent="0.3">
      <c r="A14" s="4" t="s">
        <v>463</v>
      </c>
      <c r="B14" s="4">
        <v>3</v>
      </c>
      <c r="C14" s="4" t="s">
        <v>464</v>
      </c>
      <c r="D14" s="4" t="s">
        <v>465</v>
      </c>
      <c r="E14" s="4" t="s">
        <v>466</v>
      </c>
      <c r="F14" s="4" t="s">
        <v>52</v>
      </c>
      <c r="G14" s="6" t="s">
        <v>14</v>
      </c>
      <c r="H14" s="4" t="s">
        <v>201</v>
      </c>
      <c r="I14" s="4"/>
      <c r="J14" s="4"/>
    </row>
    <row r="15" spans="1:10" ht="28.8" x14ac:dyDescent="0.3">
      <c r="A15" s="4" t="s">
        <v>467</v>
      </c>
      <c r="B15" s="4">
        <v>4</v>
      </c>
      <c r="C15" s="4" t="s">
        <v>468</v>
      </c>
      <c r="D15" s="4" t="s">
        <v>469</v>
      </c>
      <c r="E15" s="4" t="s">
        <v>470</v>
      </c>
      <c r="F15" s="4" t="s">
        <v>52</v>
      </c>
      <c r="G15" s="6" t="s">
        <v>14</v>
      </c>
      <c r="H15" s="4" t="s">
        <v>201</v>
      </c>
      <c r="I15" s="4"/>
      <c r="J15" s="4"/>
    </row>
    <row r="16" spans="1:10" ht="28.8" x14ac:dyDescent="0.3">
      <c r="A16" s="4" t="s">
        <v>471</v>
      </c>
      <c r="B16" s="4">
        <v>5</v>
      </c>
      <c r="C16" s="4" t="s">
        <v>472</v>
      </c>
      <c r="D16" s="4" t="s">
        <v>473</v>
      </c>
      <c r="E16" s="4" t="s">
        <v>474</v>
      </c>
      <c r="F16" s="4" t="s">
        <v>52</v>
      </c>
      <c r="G16" s="6" t="s">
        <v>14</v>
      </c>
      <c r="H16" s="4" t="s">
        <v>201</v>
      </c>
      <c r="I16" s="4"/>
      <c r="J16" s="4"/>
    </row>
    <row r="17" spans="1:10" ht="43.2" x14ac:dyDescent="0.3">
      <c r="A17" s="4" t="s">
        <v>475</v>
      </c>
      <c r="B17" s="4">
        <v>6</v>
      </c>
      <c r="C17" s="4" t="s">
        <v>476</v>
      </c>
      <c r="D17" s="4" t="s">
        <v>477</v>
      </c>
      <c r="E17" s="4" t="s">
        <v>478</v>
      </c>
      <c r="F17" s="4" t="s">
        <v>52</v>
      </c>
      <c r="G17" s="8" t="s">
        <v>13</v>
      </c>
      <c r="H17" s="4" t="s">
        <v>479</v>
      </c>
      <c r="I17" s="4" t="s">
        <v>149</v>
      </c>
      <c r="J17" s="4" t="s">
        <v>480</v>
      </c>
    </row>
    <row r="18" spans="1:10" ht="28.8" x14ac:dyDescent="0.3">
      <c r="A18" s="4" t="s">
        <v>481</v>
      </c>
      <c r="B18" s="4">
        <v>7</v>
      </c>
      <c r="C18" s="4" t="s">
        <v>482</v>
      </c>
      <c r="D18" s="4" t="s">
        <v>483</v>
      </c>
      <c r="E18" s="4" t="s">
        <v>484</v>
      </c>
      <c r="F18" s="4" t="s">
        <v>52</v>
      </c>
      <c r="G18" s="6" t="s">
        <v>14</v>
      </c>
      <c r="H18" s="4" t="s">
        <v>201</v>
      </c>
      <c r="I18" s="4"/>
      <c r="J18" s="4"/>
    </row>
    <row r="19" spans="1:10" ht="28.8" x14ac:dyDescent="0.3">
      <c r="A19" s="4" t="s">
        <v>485</v>
      </c>
      <c r="B19" s="4">
        <v>8</v>
      </c>
      <c r="C19" s="4" t="s">
        <v>486</v>
      </c>
      <c r="D19" s="4" t="s">
        <v>487</v>
      </c>
      <c r="E19" s="4" t="s">
        <v>488</v>
      </c>
      <c r="F19" s="4" t="s">
        <v>52</v>
      </c>
      <c r="G19" s="7" t="s">
        <v>12</v>
      </c>
      <c r="H19" s="4" t="s">
        <v>489</v>
      </c>
      <c r="I19" s="4"/>
      <c r="J19" s="4"/>
    </row>
    <row r="20" spans="1:10" ht="28.8" x14ac:dyDescent="0.3">
      <c r="A20" s="4" t="s">
        <v>490</v>
      </c>
      <c r="B20" s="4">
        <v>9</v>
      </c>
      <c r="C20" s="4" t="s">
        <v>491</v>
      </c>
      <c r="D20" s="4" t="s">
        <v>492</v>
      </c>
      <c r="E20" s="4" t="s">
        <v>493</v>
      </c>
      <c r="F20" s="4" t="s">
        <v>52</v>
      </c>
      <c r="G20" s="6" t="s">
        <v>14</v>
      </c>
      <c r="H20" s="4" t="s">
        <v>201</v>
      </c>
      <c r="I20" s="4"/>
      <c r="J20" s="4"/>
    </row>
    <row r="21" spans="1:10" ht="28.8" x14ac:dyDescent="0.3">
      <c r="A21" s="4" t="s">
        <v>494</v>
      </c>
      <c r="B21" s="4">
        <v>10</v>
      </c>
      <c r="C21" s="4" t="s">
        <v>495</v>
      </c>
      <c r="D21" s="4" t="s">
        <v>496</v>
      </c>
      <c r="E21" s="4" t="s">
        <v>497</v>
      </c>
      <c r="F21" s="4" t="s">
        <v>52</v>
      </c>
      <c r="G21" s="6" t="s">
        <v>14</v>
      </c>
      <c r="H21" s="4" t="s">
        <v>201</v>
      </c>
      <c r="I21" s="4"/>
      <c r="J21" s="4"/>
    </row>
    <row r="22" spans="1:10" ht="28.8" x14ac:dyDescent="0.3">
      <c r="A22" s="4" t="s">
        <v>498</v>
      </c>
      <c r="B22" s="4">
        <v>11</v>
      </c>
      <c r="C22" s="4" t="s">
        <v>499</v>
      </c>
      <c r="D22" s="4" t="s">
        <v>500</v>
      </c>
      <c r="E22" s="4" t="s">
        <v>501</v>
      </c>
      <c r="F22" s="4" t="s">
        <v>52</v>
      </c>
      <c r="G22" s="6" t="s">
        <v>14</v>
      </c>
      <c r="H22" s="4" t="s">
        <v>201</v>
      </c>
      <c r="I22" s="4"/>
      <c r="J22" s="4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tabSelected="1" workbookViewId="0">
      <pane ySplit="9" topLeftCell="A21" activePane="bottomLeft" state="frozen"/>
      <selection pane="bottomLeft" sqref="A1:J1"/>
    </sheetView>
  </sheetViews>
  <sheetFormatPr defaultRowHeight="14.4" x14ac:dyDescent="0.3"/>
  <cols>
    <col min="1" max="1" width="18" customWidth="1"/>
    <col min="2" max="2" width="8" customWidth="1"/>
    <col min="3" max="3" width="42" customWidth="1"/>
    <col min="4" max="4" width="55" customWidth="1"/>
    <col min="5" max="5" width="48" customWidth="1"/>
    <col min="6" max="7" width="14" customWidth="1"/>
    <col min="8" max="8" width="60" customWidth="1"/>
    <col min="9" max="9" width="12" customWidth="1"/>
    <col min="10" max="10" width="14" customWidth="1"/>
  </cols>
  <sheetData>
    <row r="1" spans="1:10" x14ac:dyDescent="0.3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8" x14ac:dyDescent="0.3">
      <c r="A3" s="1" t="s">
        <v>32</v>
      </c>
      <c r="B3" s="1" t="s">
        <v>33</v>
      </c>
      <c r="C3" s="1"/>
      <c r="D3" s="1"/>
      <c r="E3" s="1"/>
      <c r="F3" s="1"/>
      <c r="G3" s="1"/>
      <c r="H3" s="1"/>
      <c r="I3" s="1"/>
      <c r="J3" s="1"/>
    </row>
    <row r="4" spans="1:10" ht="43.2" x14ac:dyDescent="0.3">
      <c r="A4" s="1" t="s">
        <v>34</v>
      </c>
      <c r="B4" s="1" t="s">
        <v>30</v>
      </c>
      <c r="C4" s="1"/>
      <c r="D4" s="1"/>
      <c r="E4" s="1"/>
      <c r="F4" s="1"/>
      <c r="G4" s="1"/>
      <c r="H4" s="1"/>
      <c r="I4" s="1"/>
      <c r="J4" s="1"/>
    </row>
    <row r="5" spans="1:10" ht="100.8" x14ac:dyDescent="0.3">
      <c r="A5" s="1" t="s">
        <v>35</v>
      </c>
      <c r="B5" s="1" t="s">
        <v>502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12</v>
      </c>
      <c r="B6" s="1">
        <f>COUNTIF(G10:G26,"Pass")</f>
        <v>6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13</v>
      </c>
      <c r="B7" s="1">
        <f>COUNTIF(G10:G26,"Fail")</f>
        <v>2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14</v>
      </c>
      <c r="B8" s="1">
        <f>COUNTIF(G10:G26,"Blocked")</f>
        <v>7</v>
      </c>
      <c r="C8" s="1"/>
      <c r="D8" s="1"/>
      <c r="E8" s="1"/>
      <c r="F8" s="1"/>
      <c r="G8" s="1"/>
      <c r="H8" s="1"/>
      <c r="I8" s="1"/>
      <c r="J8" s="1"/>
    </row>
    <row r="9" spans="1:10" ht="28.8" x14ac:dyDescent="0.3">
      <c r="A9" s="3" t="s">
        <v>37</v>
      </c>
      <c r="B9" s="3">
        <v>17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spans="1:10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  <c r="G11" s="5" t="s">
        <v>44</v>
      </c>
      <c r="H11" s="4" t="s">
        <v>45</v>
      </c>
      <c r="I11" s="4" t="s">
        <v>46</v>
      </c>
      <c r="J11" s="4" t="s">
        <v>47</v>
      </c>
    </row>
    <row r="12" spans="1:10" ht="28.8" x14ac:dyDescent="0.3">
      <c r="A12" s="4" t="s">
        <v>503</v>
      </c>
      <c r="B12" s="4">
        <v>1</v>
      </c>
      <c r="C12" s="4" t="s">
        <v>504</v>
      </c>
      <c r="D12" s="4" t="s">
        <v>505</v>
      </c>
      <c r="E12" s="4" t="s">
        <v>506</v>
      </c>
      <c r="F12" s="4" t="s">
        <v>52</v>
      </c>
      <c r="G12" s="6" t="s">
        <v>14</v>
      </c>
      <c r="H12" s="4" t="s">
        <v>507</v>
      </c>
      <c r="I12" s="4"/>
      <c r="J12" s="4"/>
    </row>
    <row r="13" spans="1:10" ht="28.8" x14ac:dyDescent="0.3">
      <c r="A13" s="4" t="s">
        <v>508</v>
      </c>
      <c r="B13" s="4">
        <v>2</v>
      </c>
      <c r="C13" s="4" t="s">
        <v>509</v>
      </c>
      <c r="D13" s="4" t="s">
        <v>510</v>
      </c>
      <c r="E13" s="4" t="s">
        <v>511</v>
      </c>
      <c r="F13" s="4" t="s">
        <v>52</v>
      </c>
      <c r="G13" s="7" t="s">
        <v>12</v>
      </c>
      <c r="H13" s="4" t="s">
        <v>512</v>
      </c>
      <c r="I13" s="4"/>
      <c r="J13" s="4"/>
    </row>
    <row r="14" spans="1:10" ht="28.8" x14ac:dyDescent="0.3">
      <c r="A14" s="4" t="s">
        <v>513</v>
      </c>
      <c r="B14" s="4">
        <v>3</v>
      </c>
      <c r="C14" s="4" t="s">
        <v>514</v>
      </c>
      <c r="D14" s="4" t="s">
        <v>515</v>
      </c>
      <c r="E14" s="4" t="s">
        <v>516</v>
      </c>
      <c r="F14" s="4" t="s">
        <v>52</v>
      </c>
      <c r="G14" s="7" t="s">
        <v>12</v>
      </c>
      <c r="H14" s="4" t="s">
        <v>517</v>
      </c>
      <c r="I14" s="4"/>
      <c r="J14" s="4"/>
    </row>
    <row r="15" spans="1:10" ht="28.8" x14ac:dyDescent="0.3">
      <c r="A15" s="4" t="s">
        <v>518</v>
      </c>
      <c r="B15" s="4">
        <v>4</v>
      </c>
      <c r="C15" s="4" t="s">
        <v>519</v>
      </c>
      <c r="D15" s="4" t="s">
        <v>520</v>
      </c>
      <c r="E15" s="4" t="s">
        <v>521</v>
      </c>
      <c r="F15" s="4" t="s">
        <v>52</v>
      </c>
      <c r="G15" s="7" t="s">
        <v>12</v>
      </c>
      <c r="H15" s="4" t="s">
        <v>522</v>
      </c>
      <c r="I15" s="4"/>
      <c r="J15" s="4"/>
    </row>
    <row r="16" spans="1:10" ht="28.8" x14ac:dyDescent="0.3">
      <c r="A16" s="4" t="s">
        <v>523</v>
      </c>
      <c r="B16" s="4">
        <v>5</v>
      </c>
      <c r="C16" s="4" t="s">
        <v>524</v>
      </c>
      <c r="D16" s="4" t="s">
        <v>525</v>
      </c>
      <c r="E16" s="4" t="s">
        <v>526</v>
      </c>
      <c r="F16" s="4" t="s">
        <v>52</v>
      </c>
      <c r="G16" s="7" t="s">
        <v>12</v>
      </c>
      <c r="H16" s="4" t="s">
        <v>527</v>
      </c>
      <c r="I16" s="4"/>
      <c r="J16" s="4"/>
    </row>
    <row r="17" spans="1:10" ht="28.8" x14ac:dyDescent="0.3">
      <c r="A17" s="4" t="s">
        <v>528</v>
      </c>
      <c r="B17" s="4">
        <v>6</v>
      </c>
      <c r="C17" s="4" t="s">
        <v>529</v>
      </c>
      <c r="D17" s="4" t="s">
        <v>530</v>
      </c>
      <c r="E17" s="4" t="s">
        <v>531</v>
      </c>
      <c r="F17" s="4" t="s">
        <v>52</v>
      </c>
      <c r="G17" s="6" t="s">
        <v>14</v>
      </c>
      <c r="H17" s="4" t="s">
        <v>532</v>
      </c>
      <c r="I17" s="4"/>
      <c r="J17" s="4"/>
    </row>
    <row r="18" spans="1:10" ht="28.8" x14ac:dyDescent="0.3">
      <c r="A18" s="4" t="s">
        <v>533</v>
      </c>
      <c r="B18" s="4">
        <v>7</v>
      </c>
      <c r="C18" s="4" t="s">
        <v>534</v>
      </c>
      <c r="D18" s="4" t="s">
        <v>535</v>
      </c>
      <c r="E18" s="4" t="s">
        <v>536</v>
      </c>
      <c r="F18" s="4" t="s">
        <v>52</v>
      </c>
      <c r="G18" s="7" t="s">
        <v>12</v>
      </c>
      <c r="H18" s="4" t="s">
        <v>537</v>
      </c>
      <c r="I18" s="4"/>
      <c r="J18" s="4"/>
    </row>
    <row r="19" spans="1:10" ht="28.8" x14ac:dyDescent="0.3">
      <c r="A19" s="4" t="s">
        <v>538</v>
      </c>
      <c r="B19" s="4">
        <v>8</v>
      </c>
      <c r="C19" s="4" t="s">
        <v>539</v>
      </c>
      <c r="D19" s="4" t="s">
        <v>540</v>
      </c>
      <c r="E19" s="4" t="s">
        <v>541</v>
      </c>
      <c r="F19" s="4" t="s">
        <v>52</v>
      </c>
      <c r="G19" s="7" t="s">
        <v>12</v>
      </c>
      <c r="H19" s="4" t="s">
        <v>542</v>
      </c>
      <c r="I19" s="4"/>
      <c r="J19" s="4"/>
    </row>
    <row r="20" spans="1:10" ht="28.8" x14ac:dyDescent="0.3">
      <c r="A20" s="4" t="s">
        <v>543</v>
      </c>
      <c r="B20" s="4">
        <v>9</v>
      </c>
      <c r="C20" s="4" t="s">
        <v>544</v>
      </c>
      <c r="D20" s="4" t="s">
        <v>545</v>
      </c>
      <c r="E20" s="4" t="s">
        <v>546</v>
      </c>
      <c r="F20" s="4" t="s">
        <v>52</v>
      </c>
      <c r="G20" s="6" t="s">
        <v>14</v>
      </c>
      <c r="H20" s="4" t="s">
        <v>201</v>
      </c>
      <c r="I20" s="4"/>
      <c r="J20" s="4"/>
    </row>
    <row r="21" spans="1:10" ht="28.8" x14ac:dyDescent="0.3">
      <c r="A21" s="4" t="s">
        <v>547</v>
      </c>
      <c r="B21" s="4">
        <v>10</v>
      </c>
      <c r="C21" s="4" t="s">
        <v>548</v>
      </c>
      <c r="D21" s="4" t="s">
        <v>549</v>
      </c>
      <c r="E21" s="4" t="s">
        <v>550</v>
      </c>
      <c r="F21" s="4" t="s">
        <v>52</v>
      </c>
      <c r="G21" s="6" t="s">
        <v>14</v>
      </c>
      <c r="H21" s="4" t="s">
        <v>191</v>
      </c>
      <c r="I21" s="4"/>
      <c r="J21" s="4"/>
    </row>
    <row r="22" spans="1:10" ht="28.8" x14ac:dyDescent="0.3">
      <c r="A22" s="4" t="s">
        <v>551</v>
      </c>
      <c r="B22" s="4">
        <v>11</v>
      </c>
      <c r="C22" s="4" t="s">
        <v>552</v>
      </c>
      <c r="D22" s="4" t="s">
        <v>553</v>
      </c>
      <c r="E22" s="4" t="s">
        <v>554</v>
      </c>
      <c r="F22" s="4" t="s">
        <v>52</v>
      </c>
      <c r="G22" s="6" t="s">
        <v>14</v>
      </c>
      <c r="H22" s="4" t="s">
        <v>555</v>
      </c>
      <c r="I22" s="4"/>
      <c r="J22" s="4"/>
    </row>
    <row r="23" spans="1:10" ht="28.8" x14ac:dyDescent="0.3">
      <c r="A23" s="4" t="s">
        <v>556</v>
      </c>
      <c r="B23" s="4">
        <v>12</v>
      </c>
      <c r="C23" s="4" t="s">
        <v>557</v>
      </c>
      <c r="D23" s="4" t="s">
        <v>558</v>
      </c>
      <c r="E23" s="4" t="s">
        <v>559</v>
      </c>
      <c r="F23" s="4" t="s">
        <v>52</v>
      </c>
      <c r="G23" s="6" t="s">
        <v>14</v>
      </c>
      <c r="H23" s="4" t="s">
        <v>201</v>
      </c>
      <c r="I23" s="4"/>
      <c r="J23" s="4"/>
    </row>
    <row r="24" spans="1:10" ht="28.8" x14ac:dyDescent="0.3">
      <c r="A24" s="4" t="s">
        <v>560</v>
      </c>
      <c r="B24" s="4">
        <v>13</v>
      </c>
      <c r="C24" s="4" t="s">
        <v>561</v>
      </c>
      <c r="D24" s="4" t="s">
        <v>562</v>
      </c>
      <c r="E24" s="4" t="s">
        <v>563</v>
      </c>
      <c r="F24" s="4" t="s">
        <v>52</v>
      </c>
      <c r="G24" s="6" t="s">
        <v>14</v>
      </c>
      <c r="H24" s="4" t="s">
        <v>564</v>
      </c>
      <c r="I24" s="4"/>
      <c r="J24" s="4"/>
    </row>
    <row r="25" spans="1:10" ht="28.8" x14ac:dyDescent="0.3">
      <c r="A25" s="4" t="s">
        <v>565</v>
      </c>
      <c r="B25" s="4">
        <v>14</v>
      </c>
      <c r="C25" s="4" t="s">
        <v>566</v>
      </c>
      <c r="D25" s="4" t="s">
        <v>567</v>
      </c>
      <c r="E25" s="4" t="s">
        <v>568</v>
      </c>
      <c r="F25" s="4" t="s">
        <v>52</v>
      </c>
      <c r="G25" s="8" t="s">
        <v>13</v>
      </c>
      <c r="H25" s="4" t="s">
        <v>569</v>
      </c>
      <c r="I25" s="4" t="s">
        <v>149</v>
      </c>
      <c r="J25" s="4" t="s">
        <v>570</v>
      </c>
    </row>
    <row r="26" spans="1:10" ht="28.8" x14ac:dyDescent="0.3">
      <c r="A26" s="4" t="s">
        <v>571</v>
      </c>
      <c r="B26" s="4">
        <v>15</v>
      </c>
      <c r="C26" s="4" t="s">
        <v>572</v>
      </c>
      <c r="D26" s="4" t="s">
        <v>573</v>
      </c>
      <c r="E26" s="4" t="s">
        <v>574</v>
      </c>
      <c r="F26" s="4" t="s">
        <v>52</v>
      </c>
      <c r="G26" s="8" t="s">
        <v>13</v>
      </c>
      <c r="H26" s="4" t="s">
        <v>575</v>
      </c>
      <c r="I26" s="4" t="s">
        <v>149</v>
      </c>
      <c r="J26" s="4" t="s">
        <v>576</v>
      </c>
    </row>
    <row r="27" spans="1:10" ht="28.8" x14ac:dyDescent="0.3">
      <c r="A27" s="4" t="s">
        <v>577</v>
      </c>
      <c r="B27" s="4">
        <v>16</v>
      </c>
      <c r="C27" s="4" t="s">
        <v>578</v>
      </c>
      <c r="D27" s="4" t="s">
        <v>579</v>
      </c>
      <c r="E27" s="4" t="s">
        <v>580</v>
      </c>
      <c r="F27" s="4" t="s">
        <v>52</v>
      </c>
      <c r="G27" s="7" t="s">
        <v>12</v>
      </c>
      <c r="H27" s="4" t="s">
        <v>581</v>
      </c>
      <c r="I27" s="4"/>
      <c r="J27" s="4"/>
    </row>
    <row r="28" spans="1:10" ht="28.8" x14ac:dyDescent="0.3">
      <c r="A28" s="4" t="s">
        <v>582</v>
      </c>
      <c r="B28" s="4">
        <v>17</v>
      </c>
      <c r="C28" s="4" t="s">
        <v>583</v>
      </c>
      <c r="D28" s="4" t="s">
        <v>584</v>
      </c>
      <c r="E28" s="4" t="s">
        <v>585</v>
      </c>
      <c r="F28" s="4" t="s">
        <v>52</v>
      </c>
      <c r="G28" s="8" t="s">
        <v>13</v>
      </c>
      <c r="H28" s="4" t="s">
        <v>586</v>
      </c>
      <c r="I28" s="4" t="s">
        <v>104</v>
      </c>
      <c r="J28" s="4" t="s">
        <v>587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Report</vt:lpstr>
      <vt:lpstr>Authentication</vt:lpstr>
      <vt:lpstr>Authorization</vt:lpstr>
      <vt:lpstr>Users</vt:lpstr>
      <vt:lpstr>Organization_HR</vt:lpstr>
      <vt:lpstr>CRM</vt:lpstr>
      <vt:lpstr>Operations_Workflow</vt:lpstr>
      <vt:lpstr>Finance_Inventory</vt:lpstr>
      <vt:lpstr>KPI_OKR_Evaluation</vt:lpstr>
      <vt:lpstr>Resource_Maintenance</vt:lpstr>
      <vt:lpstr>Reports_AI_Backup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Đoàn</cp:lastModifiedBy>
  <dcterms:created xsi:type="dcterms:W3CDTF">2026-06-06T13:27:47Z</dcterms:created>
  <dcterms:modified xsi:type="dcterms:W3CDTF">2026-06-06T13:33:10Z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2026-06-06T13:33:10Z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46943ba8-eb49-4638-ae80-5397e1c9fb4c</vt:lpwstr>
  </property>
  <property fmtid="{D5CDD505-2E9C-101B-9397-08002B2CF9AE}" pid="7" name="MSIP_Label_defa4170-0d19-0005-0004-bc88714345d2_ActionId">
    <vt:lpwstr>45a6059e-e3b4-426a-a681-b4c4a714ad46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